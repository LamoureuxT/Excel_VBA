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gar\Downloads\"/>
    </mc:Choice>
  </mc:AlternateContent>
  <xr:revisionPtr revIDLastSave="0" documentId="13_ncr:1_{7C5581CF-484D-46F6-9371-434C19296563}" xr6:coauthVersionLast="47" xr6:coauthVersionMax="47" xr10:uidLastSave="{00000000-0000-0000-0000-000000000000}"/>
  <bookViews>
    <workbookView xWindow="-108" yWindow="-108" windowWidth="23256" windowHeight="12456" xr2:uid="{F63F5E6D-26AD-4779-B206-BE1642F01BDB}"/>
  </bookViews>
  <sheets>
    <sheet name="AR-GARCH" sheetId="1" r:id="rId1"/>
  </sheets>
  <definedNames>
    <definedName name="solver_adj" localSheetId="0" hidden="1">'AR-GARCH'!$N$5:$N$13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'AR-GARCH'!$L$1</definedName>
    <definedName name="solver_lhs10" localSheetId="0" hidden="1">'AR-GARCH'!$L$1</definedName>
    <definedName name="solver_lhs11" localSheetId="0" hidden="1">'AR-GARCH'!$L$2</definedName>
    <definedName name="solver_lhs12" localSheetId="0" hidden="1">'AR-GARCH'!$N$8</definedName>
    <definedName name="solver_lhs13" localSheetId="0" hidden="1">'AR-GARCH'!$L$1</definedName>
    <definedName name="solver_lhs14" localSheetId="0" hidden="1">'AR-GARCH'!$L$1</definedName>
    <definedName name="solver_lhs15" localSheetId="0" hidden="1">'AR-GARCH'!$L$2</definedName>
    <definedName name="solver_lhs16" localSheetId="0" hidden="1">'AR-GARCH'!$N$8</definedName>
    <definedName name="solver_lhs17" localSheetId="0" hidden="1">'AR-GARCH'!$L$1</definedName>
    <definedName name="solver_lhs18" localSheetId="0" hidden="1">'AR-GARCH'!$L$1</definedName>
    <definedName name="solver_lhs19" localSheetId="0" hidden="1">'AR-GARCH'!$L$2</definedName>
    <definedName name="solver_lhs2" localSheetId="0" hidden="1">'AR-GARCH'!$L$1</definedName>
    <definedName name="solver_lhs20" localSheetId="0" hidden="1">'AR-GARCH'!$N$8</definedName>
    <definedName name="solver_lhs21" localSheetId="0" hidden="1">'AR-GARCH'!$L$1</definedName>
    <definedName name="solver_lhs22" localSheetId="0" hidden="1">'AR-GARCH'!$L$1</definedName>
    <definedName name="solver_lhs23" localSheetId="0" hidden="1">'AR-GARCH'!$L$2</definedName>
    <definedName name="solver_lhs24" localSheetId="0" hidden="1">'AR-GARCH'!$N$8</definedName>
    <definedName name="solver_lhs25" localSheetId="0" hidden="1">'AR-GARCH'!$L$1</definedName>
    <definedName name="solver_lhs26" localSheetId="0" hidden="1">'AR-GARCH'!$L$1</definedName>
    <definedName name="solver_lhs27" localSheetId="0" hidden="1">'AR-GARCH'!$L$2</definedName>
    <definedName name="solver_lhs28" localSheetId="0" hidden="1">'AR-GARCH'!$N$8</definedName>
    <definedName name="solver_lhs29" localSheetId="0" hidden="1">'AR-GARCH'!$L$1</definedName>
    <definedName name="solver_lhs3" localSheetId="0" hidden="1">'AR-GARCH'!$L$2</definedName>
    <definedName name="solver_lhs30" localSheetId="0" hidden="1">'AR-GARCH'!$L$1</definedName>
    <definedName name="solver_lhs31" localSheetId="0" hidden="1">'AR-GARCH'!$L$2</definedName>
    <definedName name="solver_lhs32" localSheetId="0" hidden="1">'AR-GARCH'!$N$8</definedName>
    <definedName name="solver_lhs33" localSheetId="0" hidden="1">'AR-GARCH'!$L$1</definedName>
    <definedName name="solver_lhs34" localSheetId="0" hidden="1">'AR-GARCH'!$L$1</definedName>
    <definedName name="solver_lhs35" localSheetId="0" hidden="1">'AR-GARCH'!$L$2</definedName>
    <definedName name="solver_lhs36" localSheetId="0" hidden="1">'AR-GARCH'!$N$8</definedName>
    <definedName name="solver_lhs37" localSheetId="0" hidden="1">'AR-GARCH'!$L$1</definedName>
    <definedName name="solver_lhs38" localSheetId="0" hidden="1">'AR-GARCH'!$L$1</definedName>
    <definedName name="solver_lhs39" localSheetId="0" hidden="1">'AR-GARCH'!$L$2</definedName>
    <definedName name="solver_lhs4" localSheetId="0" hidden="1">'AR-GARCH'!$N$8</definedName>
    <definedName name="solver_lhs40" localSheetId="0" hidden="1">'AR-GARCH'!$N$8</definedName>
    <definedName name="solver_lhs41" localSheetId="0" hidden="1">'AR-GARCH'!$L$1</definedName>
    <definedName name="solver_lhs42" localSheetId="0" hidden="1">'AR-GARCH'!$L$1</definedName>
    <definedName name="solver_lhs43" localSheetId="0" hidden="1">'AR-GARCH'!$L$2</definedName>
    <definedName name="solver_lhs44" localSheetId="0" hidden="1">'AR-GARCH'!$N$8</definedName>
    <definedName name="solver_lhs45" localSheetId="0" hidden="1">'AR-GARCH'!$L$1</definedName>
    <definedName name="solver_lhs46" localSheetId="0" hidden="1">'AR-GARCH'!$L$1</definedName>
    <definedName name="solver_lhs47" localSheetId="0" hidden="1">'AR-GARCH'!$L$2</definedName>
    <definedName name="solver_lhs48" localSheetId="0" hidden="1">'AR-GARCH'!$N$8</definedName>
    <definedName name="solver_lhs49" localSheetId="0" hidden="1">'AR-GARCH'!$L$1</definedName>
    <definedName name="solver_lhs5" localSheetId="0" hidden="1">'AR-GARCH'!$L$1</definedName>
    <definedName name="solver_lhs50" localSheetId="0" hidden="1">'AR-GARCH'!$L$1</definedName>
    <definedName name="solver_lhs51" localSheetId="0" hidden="1">'AR-GARCH'!$L$2</definedName>
    <definedName name="solver_lhs52" localSheetId="0" hidden="1">'AR-GARCH'!$N$8</definedName>
    <definedName name="solver_lhs6" localSheetId="0" hidden="1">'AR-GARCH'!$L$1</definedName>
    <definedName name="solver_lhs7" localSheetId="0" hidden="1">'AR-GARCH'!$L$2</definedName>
    <definedName name="solver_lhs8" localSheetId="0" hidden="1">'AR-GARCH'!$N$8</definedName>
    <definedName name="solver_lhs9" localSheetId="0" hidden="1">'AR-GARCH'!$L$1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'AR-GARCH'!$L$1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3</definedName>
    <definedName name="solver_rel3" localSheetId="0" hidden="1">1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3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3</definedName>
    <definedName name="solver_rel38" localSheetId="0" hidden="1">1</definedName>
    <definedName name="solver_rel39" localSheetId="0" hidden="1">1</definedName>
    <definedName name="solver_rel4" localSheetId="0" hidden="1">1</definedName>
    <definedName name="solver_rel40" localSheetId="0" hidden="1">1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3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1</definedName>
    <definedName name="solver_rel51" localSheetId="0" hidden="1">1</definedName>
    <definedName name="solver_rel52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3</definedName>
    <definedName name="solver_rhs1" localSheetId="0" hidden="1">1700</definedName>
    <definedName name="solver_rhs10" localSheetId="0" hidden="1">1700</definedName>
    <definedName name="solver_rhs11" localSheetId="0" hidden="1">1</definedName>
    <definedName name="solver_rhs12" localSheetId="0" hidden="1">1</definedName>
    <definedName name="solver_rhs13" localSheetId="0" hidden="1">0</definedName>
    <definedName name="solver_rhs14" localSheetId="0" hidden="1">1700</definedName>
    <definedName name="solver_rhs15" localSheetId="0" hidden="1">1</definedName>
    <definedName name="solver_rhs16" localSheetId="0" hidden="1">1</definedName>
    <definedName name="solver_rhs17" localSheetId="0" hidden="1">0</definedName>
    <definedName name="solver_rhs18" localSheetId="0" hidden="1">1700</definedName>
    <definedName name="solver_rhs19" localSheetId="0" hidden="1">1</definedName>
    <definedName name="solver_rhs2" localSheetId="0" hidden="1">0</definedName>
    <definedName name="solver_rhs20" localSheetId="0" hidden="1">1</definedName>
    <definedName name="solver_rhs21" localSheetId="0" hidden="1">0</definedName>
    <definedName name="solver_rhs22" localSheetId="0" hidden="1">1700</definedName>
    <definedName name="solver_rhs23" localSheetId="0" hidden="1">1</definedName>
    <definedName name="solver_rhs24" localSheetId="0" hidden="1">1</definedName>
    <definedName name="solver_rhs25" localSheetId="0" hidden="1">0</definedName>
    <definedName name="solver_rhs26" localSheetId="0" hidden="1">1700</definedName>
    <definedName name="solver_rhs27" localSheetId="0" hidden="1">1</definedName>
    <definedName name="solver_rhs28" localSheetId="0" hidden="1">1</definedName>
    <definedName name="solver_rhs29" localSheetId="0" hidden="1">0</definedName>
    <definedName name="solver_rhs3" localSheetId="0" hidden="1">1</definedName>
    <definedName name="solver_rhs30" localSheetId="0" hidden="1">1700</definedName>
    <definedName name="solver_rhs31" localSheetId="0" hidden="1">1</definedName>
    <definedName name="solver_rhs32" localSheetId="0" hidden="1">1</definedName>
    <definedName name="solver_rhs33" localSheetId="0" hidden="1">0</definedName>
    <definedName name="solver_rhs34" localSheetId="0" hidden="1">1700</definedName>
    <definedName name="solver_rhs35" localSheetId="0" hidden="1">1</definedName>
    <definedName name="solver_rhs36" localSheetId="0" hidden="1">1</definedName>
    <definedName name="solver_rhs37" localSheetId="0" hidden="1">0</definedName>
    <definedName name="solver_rhs38" localSheetId="0" hidden="1">1700</definedName>
    <definedName name="solver_rhs39" localSheetId="0" hidden="1">1</definedName>
    <definedName name="solver_rhs4" localSheetId="0" hidden="1">1</definedName>
    <definedName name="solver_rhs40" localSheetId="0" hidden="1">1</definedName>
    <definedName name="solver_rhs41" localSheetId="0" hidden="1">0</definedName>
    <definedName name="solver_rhs42" localSheetId="0" hidden="1">1700</definedName>
    <definedName name="solver_rhs43" localSheetId="0" hidden="1">1</definedName>
    <definedName name="solver_rhs44" localSheetId="0" hidden="1">1</definedName>
    <definedName name="solver_rhs45" localSheetId="0" hidden="1">0</definedName>
    <definedName name="solver_rhs46" localSheetId="0" hidden="1">1700</definedName>
    <definedName name="solver_rhs47" localSheetId="0" hidden="1">1</definedName>
    <definedName name="solver_rhs48" localSheetId="0" hidden="1">1</definedName>
    <definedName name="solver_rhs49" localSheetId="0" hidden="1">0</definedName>
    <definedName name="solver_rhs5" localSheetId="0" hidden="1">0</definedName>
    <definedName name="solver_rhs50" localSheetId="0" hidden="1">1700</definedName>
    <definedName name="solver_rhs51" localSheetId="0" hidden="1">1</definedName>
    <definedName name="solver_rhs52" localSheetId="0" hidden="1">1</definedName>
    <definedName name="solver_rhs6" localSheetId="0" hidden="1">1700</definedName>
    <definedName name="solver_rhs7" localSheetId="0" hidden="1">1</definedName>
    <definedName name="solver_rhs8" localSheetId="0" hidden="1">1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1" l="1"/>
  <c r="H14" i="1"/>
  <c r="H15" i="1"/>
  <c r="H6" i="1"/>
  <c r="H7" i="1"/>
  <c r="H8" i="1"/>
  <c r="H9" i="1"/>
  <c r="H10" i="1"/>
  <c r="H11" i="1"/>
  <c r="H12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H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L2" i="1" l="1"/>
  <c r="G5" i="1" l="1"/>
  <c r="G6" i="1" l="1"/>
  <c r="F6" i="1" s="1"/>
  <c r="E6" i="1" s="1"/>
  <c r="F5" i="1"/>
  <c r="D4" i="1"/>
  <c r="D3" i="1"/>
  <c r="G7" i="1" l="1"/>
  <c r="I5" i="1"/>
  <c r="E5" i="1"/>
  <c r="I6" i="1"/>
  <c r="G8" i="1" l="1"/>
  <c r="F7" i="1"/>
  <c r="E7" i="1" l="1"/>
  <c r="I7" i="1"/>
  <c r="G9" i="1"/>
  <c r="F8" i="1"/>
  <c r="E8" i="1" l="1"/>
  <c r="I8" i="1"/>
  <c r="G10" i="1"/>
  <c r="F9" i="1"/>
  <c r="E9" i="1" l="1"/>
  <c r="I9" i="1"/>
  <c r="G11" i="1"/>
  <c r="F10" i="1"/>
  <c r="E10" i="1" l="1"/>
  <c r="I10" i="1"/>
  <c r="G12" i="1"/>
  <c r="F11" i="1"/>
  <c r="E11" i="1" l="1"/>
  <c r="I11" i="1"/>
  <c r="G13" i="1"/>
  <c r="F12" i="1"/>
  <c r="E12" i="1" l="1"/>
  <c r="I12" i="1"/>
  <c r="G14" i="1"/>
  <c r="F13" i="1"/>
  <c r="G15" i="1" l="1"/>
  <c r="F14" i="1"/>
  <c r="E13" i="1"/>
  <c r="I13" i="1"/>
  <c r="E14" i="1" l="1"/>
  <c r="I14" i="1"/>
  <c r="G16" i="1"/>
  <c r="F15" i="1"/>
  <c r="G17" i="1" l="1"/>
  <c r="F16" i="1"/>
  <c r="E15" i="1"/>
  <c r="I15" i="1"/>
  <c r="G18" i="1" l="1"/>
  <c r="F17" i="1"/>
  <c r="E16" i="1"/>
  <c r="I16" i="1"/>
  <c r="G19" i="1" l="1"/>
  <c r="F18" i="1"/>
  <c r="E17" i="1"/>
  <c r="I17" i="1"/>
  <c r="G20" i="1" l="1"/>
  <c r="F19" i="1"/>
  <c r="E18" i="1"/>
  <c r="I18" i="1"/>
  <c r="E19" i="1" l="1"/>
  <c r="I19" i="1"/>
  <c r="G21" i="1"/>
  <c r="F20" i="1"/>
  <c r="E20" i="1" l="1"/>
  <c r="I20" i="1"/>
  <c r="G22" i="1"/>
  <c r="F21" i="1"/>
  <c r="G23" i="1" l="1"/>
  <c r="F22" i="1"/>
  <c r="E21" i="1"/>
  <c r="I21" i="1"/>
  <c r="E22" i="1" l="1"/>
  <c r="I22" i="1"/>
  <c r="G24" i="1"/>
  <c r="F23" i="1"/>
  <c r="E23" i="1" l="1"/>
  <c r="I23" i="1"/>
  <c r="G25" i="1"/>
  <c r="F24" i="1"/>
  <c r="G26" i="1" l="1"/>
  <c r="F25" i="1"/>
  <c r="E24" i="1"/>
  <c r="I24" i="1"/>
  <c r="E25" i="1" l="1"/>
  <c r="I25" i="1"/>
  <c r="G27" i="1"/>
  <c r="F26" i="1"/>
  <c r="G28" i="1" l="1"/>
  <c r="F27" i="1"/>
  <c r="E26" i="1"/>
  <c r="I26" i="1"/>
  <c r="E27" i="1" l="1"/>
  <c r="I27" i="1"/>
  <c r="G29" i="1"/>
  <c r="F28" i="1"/>
  <c r="G30" i="1" l="1"/>
  <c r="F29" i="1"/>
  <c r="E28" i="1"/>
  <c r="I28" i="1"/>
  <c r="E29" i="1" l="1"/>
  <c r="I29" i="1"/>
  <c r="G31" i="1"/>
  <c r="F30" i="1"/>
  <c r="G32" i="1" l="1"/>
  <c r="F31" i="1"/>
  <c r="E30" i="1"/>
  <c r="I30" i="1"/>
  <c r="E31" i="1" l="1"/>
  <c r="I31" i="1"/>
  <c r="G33" i="1"/>
  <c r="F32" i="1"/>
  <c r="E32" i="1" l="1"/>
  <c r="I32" i="1"/>
  <c r="G34" i="1"/>
  <c r="F33" i="1"/>
  <c r="G35" i="1" l="1"/>
  <c r="F34" i="1"/>
  <c r="E33" i="1"/>
  <c r="I33" i="1"/>
  <c r="E34" i="1" l="1"/>
  <c r="I34" i="1"/>
  <c r="G36" i="1"/>
  <c r="F35" i="1"/>
  <c r="G37" i="1" l="1"/>
  <c r="F36" i="1"/>
  <c r="E35" i="1"/>
  <c r="I35" i="1"/>
  <c r="E36" i="1" l="1"/>
  <c r="I36" i="1"/>
  <c r="G38" i="1"/>
  <c r="F37" i="1"/>
  <c r="E37" i="1" l="1"/>
  <c r="I37" i="1"/>
  <c r="G39" i="1"/>
  <c r="F38" i="1"/>
  <c r="E38" i="1" l="1"/>
  <c r="I38" i="1"/>
  <c r="G40" i="1"/>
  <c r="F39" i="1"/>
  <c r="E39" i="1" l="1"/>
  <c r="I39" i="1"/>
  <c r="G41" i="1"/>
  <c r="F40" i="1"/>
  <c r="E40" i="1" l="1"/>
  <c r="I40" i="1"/>
  <c r="G42" i="1"/>
  <c r="F41" i="1"/>
  <c r="G43" i="1" l="1"/>
  <c r="F42" i="1"/>
  <c r="E41" i="1"/>
  <c r="I41" i="1"/>
  <c r="E42" i="1" l="1"/>
  <c r="I42" i="1"/>
  <c r="G44" i="1"/>
  <c r="F43" i="1"/>
  <c r="E43" i="1" l="1"/>
  <c r="I43" i="1"/>
  <c r="G45" i="1"/>
  <c r="F44" i="1"/>
  <c r="G46" i="1" l="1"/>
  <c r="F45" i="1"/>
  <c r="E44" i="1"/>
  <c r="I44" i="1"/>
  <c r="E45" i="1" l="1"/>
  <c r="I45" i="1"/>
  <c r="G47" i="1"/>
  <c r="F46" i="1"/>
  <c r="E46" i="1" l="1"/>
  <c r="I46" i="1"/>
  <c r="G48" i="1"/>
  <c r="F47" i="1"/>
  <c r="G49" i="1" l="1"/>
  <c r="F48" i="1"/>
  <c r="E47" i="1"/>
  <c r="I47" i="1"/>
  <c r="E48" i="1" l="1"/>
  <c r="I48" i="1"/>
  <c r="G50" i="1"/>
  <c r="F49" i="1"/>
  <c r="G51" i="1" l="1"/>
  <c r="F50" i="1"/>
  <c r="E49" i="1"/>
  <c r="I49" i="1"/>
  <c r="E50" i="1" l="1"/>
  <c r="I50" i="1"/>
  <c r="G52" i="1"/>
  <c r="F51" i="1"/>
  <c r="G53" i="1" l="1"/>
  <c r="F52" i="1"/>
  <c r="E51" i="1"/>
  <c r="I51" i="1"/>
  <c r="E52" i="1" l="1"/>
  <c r="I52" i="1"/>
  <c r="G54" i="1"/>
  <c r="F53" i="1"/>
  <c r="E53" i="1" l="1"/>
  <c r="I53" i="1"/>
  <c r="G55" i="1"/>
  <c r="F54" i="1"/>
  <c r="G56" i="1" l="1"/>
  <c r="F55" i="1"/>
  <c r="E54" i="1"/>
  <c r="I54" i="1"/>
  <c r="E55" i="1" l="1"/>
  <c r="I55" i="1"/>
  <c r="G57" i="1"/>
  <c r="F56" i="1"/>
  <c r="G58" i="1" l="1"/>
  <c r="F57" i="1"/>
  <c r="E56" i="1"/>
  <c r="I56" i="1"/>
  <c r="E57" i="1" l="1"/>
  <c r="I57" i="1"/>
  <c r="G59" i="1"/>
  <c r="F58" i="1"/>
  <c r="G60" i="1" l="1"/>
  <c r="F59" i="1"/>
  <c r="E58" i="1"/>
  <c r="I58" i="1"/>
  <c r="E59" i="1" l="1"/>
  <c r="I59" i="1"/>
  <c r="G61" i="1"/>
  <c r="F60" i="1"/>
  <c r="G62" i="1" l="1"/>
  <c r="F61" i="1"/>
  <c r="E60" i="1"/>
  <c r="I60" i="1"/>
  <c r="E61" i="1" l="1"/>
  <c r="I61" i="1"/>
  <c r="G63" i="1"/>
  <c r="F62" i="1"/>
  <c r="E62" i="1" l="1"/>
  <c r="I62" i="1"/>
  <c r="G64" i="1"/>
  <c r="F63" i="1"/>
  <c r="G65" i="1" l="1"/>
  <c r="F64" i="1"/>
  <c r="E63" i="1"/>
  <c r="I63" i="1"/>
  <c r="E64" i="1" l="1"/>
  <c r="I64" i="1"/>
  <c r="G66" i="1"/>
  <c r="F65" i="1"/>
  <c r="G67" i="1" l="1"/>
  <c r="F66" i="1"/>
  <c r="E65" i="1"/>
  <c r="I65" i="1"/>
  <c r="E66" i="1" l="1"/>
  <c r="I66" i="1"/>
  <c r="G68" i="1"/>
  <c r="F67" i="1"/>
  <c r="E67" i="1" l="1"/>
  <c r="I67" i="1"/>
  <c r="G69" i="1"/>
  <c r="F68" i="1"/>
  <c r="E68" i="1" l="1"/>
  <c r="I68" i="1"/>
  <c r="G70" i="1"/>
  <c r="F69" i="1"/>
  <c r="E69" i="1" l="1"/>
  <c r="I69" i="1"/>
  <c r="G71" i="1"/>
  <c r="F70" i="1"/>
  <c r="G72" i="1" l="1"/>
  <c r="F71" i="1"/>
  <c r="E70" i="1"/>
  <c r="I70" i="1"/>
  <c r="E71" i="1" l="1"/>
  <c r="I71" i="1"/>
  <c r="G73" i="1"/>
  <c r="F72" i="1"/>
  <c r="G74" i="1" l="1"/>
  <c r="F73" i="1"/>
  <c r="E72" i="1"/>
  <c r="I72" i="1"/>
  <c r="E73" i="1" l="1"/>
  <c r="I73" i="1"/>
  <c r="G75" i="1"/>
  <c r="F74" i="1"/>
  <c r="G76" i="1" l="1"/>
  <c r="F75" i="1"/>
  <c r="E74" i="1"/>
  <c r="I74" i="1"/>
  <c r="E75" i="1" l="1"/>
  <c r="I75" i="1"/>
  <c r="G77" i="1"/>
  <c r="F76" i="1"/>
  <c r="G78" i="1" l="1"/>
  <c r="F77" i="1"/>
  <c r="E76" i="1"/>
  <c r="I76" i="1"/>
  <c r="E77" i="1" l="1"/>
  <c r="I77" i="1"/>
  <c r="G79" i="1"/>
  <c r="F78" i="1"/>
  <c r="G80" i="1" l="1"/>
  <c r="F79" i="1"/>
  <c r="E78" i="1"/>
  <c r="I78" i="1"/>
  <c r="E79" i="1" l="1"/>
  <c r="I79" i="1"/>
  <c r="G81" i="1"/>
  <c r="F80" i="1"/>
  <c r="G82" i="1" l="1"/>
  <c r="F81" i="1"/>
  <c r="E80" i="1"/>
  <c r="I80" i="1"/>
  <c r="E81" i="1" l="1"/>
  <c r="I81" i="1"/>
  <c r="G83" i="1"/>
  <c r="F82" i="1"/>
  <c r="G84" i="1" l="1"/>
  <c r="F83" i="1"/>
  <c r="E82" i="1"/>
  <c r="I82" i="1"/>
  <c r="E83" i="1" l="1"/>
  <c r="I83" i="1"/>
  <c r="G85" i="1"/>
  <c r="F84" i="1"/>
  <c r="G86" i="1" l="1"/>
  <c r="F85" i="1"/>
  <c r="E84" i="1"/>
  <c r="I84" i="1"/>
  <c r="E85" i="1" l="1"/>
  <c r="I85" i="1"/>
  <c r="G87" i="1"/>
  <c r="F86" i="1"/>
  <c r="G88" i="1" l="1"/>
  <c r="F87" i="1"/>
  <c r="E86" i="1"/>
  <c r="I86" i="1"/>
  <c r="E87" i="1" l="1"/>
  <c r="I87" i="1"/>
  <c r="G89" i="1"/>
  <c r="F88" i="1"/>
  <c r="E88" i="1" l="1"/>
  <c r="I88" i="1"/>
  <c r="G90" i="1"/>
  <c r="F89" i="1"/>
  <c r="G91" i="1" l="1"/>
  <c r="F90" i="1"/>
  <c r="E89" i="1"/>
  <c r="I89" i="1"/>
  <c r="E90" i="1" l="1"/>
  <c r="I90" i="1"/>
  <c r="G92" i="1"/>
  <c r="F91" i="1"/>
  <c r="G93" i="1" l="1"/>
  <c r="F92" i="1"/>
  <c r="E91" i="1"/>
  <c r="I91" i="1"/>
  <c r="E92" i="1" l="1"/>
  <c r="I92" i="1"/>
  <c r="G94" i="1"/>
  <c r="F93" i="1"/>
  <c r="G95" i="1" l="1"/>
  <c r="F94" i="1"/>
  <c r="E93" i="1"/>
  <c r="I93" i="1"/>
  <c r="G96" i="1" l="1"/>
  <c r="F95" i="1"/>
  <c r="E94" i="1"/>
  <c r="I94" i="1"/>
  <c r="E95" i="1" l="1"/>
  <c r="I95" i="1"/>
  <c r="G97" i="1"/>
  <c r="F96" i="1"/>
  <c r="E96" i="1" l="1"/>
  <c r="I96" i="1"/>
  <c r="G98" i="1"/>
  <c r="F97" i="1"/>
  <c r="E97" i="1" l="1"/>
  <c r="I97" i="1"/>
  <c r="G99" i="1"/>
  <c r="F98" i="1"/>
  <c r="G100" i="1" l="1"/>
  <c r="F99" i="1"/>
  <c r="E98" i="1"/>
  <c r="I98" i="1"/>
  <c r="E99" i="1" l="1"/>
  <c r="I99" i="1"/>
  <c r="G101" i="1"/>
  <c r="F100" i="1"/>
  <c r="G102" i="1" l="1"/>
  <c r="F101" i="1"/>
  <c r="E100" i="1"/>
  <c r="I100" i="1"/>
  <c r="E101" i="1" l="1"/>
  <c r="I101" i="1"/>
  <c r="G103" i="1"/>
  <c r="F102" i="1"/>
  <c r="E102" i="1" l="1"/>
  <c r="I102" i="1"/>
  <c r="G104" i="1"/>
  <c r="F103" i="1"/>
  <c r="E103" i="1" l="1"/>
  <c r="I103" i="1"/>
  <c r="G105" i="1"/>
  <c r="F104" i="1"/>
  <c r="E104" i="1" l="1"/>
  <c r="I104" i="1"/>
  <c r="G106" i="1"/>
  <c r="F105" i="1"/>
  <c r="E105" i="1" l="1"/>
  <c r="I105" i="1"/>
  <c r="G107" i="1"/>
  <c r="F106" i="1"/>
  <c r="G108" i="1" l="1"/>
  <c r="F107" i="1"/>
  <c r="E106" i="1"/>
  <c r="I106" i="1"/>
  <c r="E107" i="1" l="1"/>
  <c r="I107" i="1"/>
  <c r="G109" i="1"/>
  <c r="F108" i="1"/>
  <c r="G110" i="1" l="1"/>
  <c r="F109" i="1"/>
  <c r="E108" i="1"/>
  <c r="I108" i="1"/>
  <c r="E109" i="1" l="1"/>
  <c r="I109" i="1"/>
  <c r="G111" i="1"/>
  <c r="F110" i="1"/>
  <c r="E110" i="1" l="1"/>
  <c r="I110" i="1"/>
  <c r="G112" i="1"/>
  <c r="F111" i="1"/>
  <c r="G113" i="1" l="1"/>
  <c r="F112" i="1"/>
  <c r="E111" i="1"/>
  <c r="I111" i="1"/>
  <c r="E112" i="1" l="1"/>
  <c r="I112" i="1"/>
  <c r="G114" i="1"/>
  <c r="F113" i="1"/>
  <c r="G115" i="1" l="1"/>
  <c r="F114" i="1"/>
  <c r="E113" i="1"/>
  <c r="I113" i="1"/>
  <c r="E114" i="1" l="1"/>
  <c r="I114" i="1"/>
  <c r="G116" i="1"/>
  <c r="F115" i="1"/>
  <c r="E115" i="1" l="1"/>
  <c r="I115" i="1"/>
  <c r="G117" i="1"/>
  <c r="F116" i="1"/>
  <c r="E116" i="1" l="1"/>
  <c r="I116" i="1"/>
  <c r="G118" i="1"/>
  <c r="F117" i="1"/>
  <c r="G119" i="1" l="1"/>
  <c r="F118" i="1"/>
  <c r="E117" i="1"/>
  <c r="I117" i="1"/>
  <c r="E118" i="1" l="1"/>
  <c r="I118" i="1"/>
  <c r="G120" i="1"/>
  <c r="F119" i="1"/>
  <c r="G121" i="1" l="1"/>
  <c r="F120" i="1"/>
  <c r="E119" i="1"/>
  <c r="I119" i="1"/>
  <c r="E120" i="1" l="1"/>
  <c r="I120" i="1"/>
  <c r="G122" i="1"/>
  <c r="F121" i="1"/>
  <c r="E121" i="1" l="1"/>
  <c r="I121" i="1"/>
  <c r="G123" i="1"/>
  <c r="F122" i="1"/>
  <c r="E122" i="1" l="1"/>
  <c r="I122" i="1"/>
  <c r="G124" i="1"/>
  <c r="F123" i="1"/>
  <c r="G125" i="1" l="1"/>
  <c r="F124" i="1"/>
  <c r="E123" i="1"/>
  <c r="I123" i="1"/>
  <c r="E124" i="1" l="1"/>
  <c r="I124" i="1"/>
  <c r="G126" i="1"/>
  <c r="F125" i="1"/>
  <c r="G127" i="1" l="1"/>
  <c r="F126" i="1"/>
  <c r="E125" i="1"/>
  <c r="I125" i="1"/>
  <c r="E126" i="1" l="1"/>
  <c r="I126" i="1"/>
  <c r="G128" i="1"/>
  <c r="F127" i="1"/>
  <c r="E127" i="1" l="1"/>
  <c r="I127" i="1"/>
  <c r="G129" i="1"/>
  <c r="F128" i="1"/>
  <c r="E128" i="1" l="1"/>
  <c r="I128" i="1"/>
  <c r="G130" i="1"/>
  <c r="F129" i="1"/>
  <c r="G131" i="1" l="1"/>
  <c r="F130" i="1"/>
  <c r="E129" i="1"/>
  <c r="I129" i="1"/>
  <c r="E130" i="1" l="1"/>
  <c r="I130" i="1"/>
  <c r="G132" i="1"/>
  <c r="F131" i="1"/>
  <c r="E131" i="1" l="1"/>
  <c r="I131" i="1"/>
  <c r="G133" i="1"/>
  <c r="F132" i="1"/>
  <c r="E132" i="1" l="1"/>
  <c r="I132" i="1"/>
  <c r="G134" i="1"/>
  <c r="F133" i="1"/>
  <c r="E133" i="1" l="1"/>
  <c r="I133" i="1"/>
  <c r="G135" i="1"/>
  <c r="F134" i="1"/>
  <c r="G136" i="1" l="1"/>
  <c r="F135" i="1"/>
  <c r="E134" i="1"/>
  <c r="I134" i="1"/>
  <c r="E135" i="1" l="1"/>
  <c r="I135" i="1"/>
  <c r="G137" i="1"/>
  <c r="F136" i="1"/>
  <c r="E136" i="1" l="1"/>
  <c r="I136" i="1"/>
  <c r="G138" i="1"/>
  <c r="F137" i="1"/>
  <c r="E137" i="1" l="1"/>
  <c r="I137" i="1"/>
  <c r="G139" i="1"/>
  <c r="F138" i="1"/>
  <c r="G140" i="1" l="1"/>
  <c r="F139" i="1"/>
  <c r="E138" i="1"/>
  <c r="I138" i="1"/>
  <c r="E139" i="1" l="1"/>
  <c r="I139" i="1"/>
  <c r="G141" i="1"/>
  <c r="F140" i="1"/>
  <c r="G142" i="1" l="1"/>
  <c r="F141" i="1"/>
  <c r="E140" i="1"/>
  <c r="I140" i="1"/>
  <c r="E141" i="1" l="1"/>
  <c r="I141" i="1"/>
  <c r="G143" i="1"/>
  <c r="F142" i="1"/>
  <c r="G144" i="1" l="1"/>
  <c r="F143" i="1"/>
  <c r="E142" i="1"/>
  <c r="I142" i="1"/>
  <c r="E143" i="1" l="1"/>
  <c r="I143" i="1"/>
  <c r="G145" i="1"/>
  <c r="F144" i="1"/>
  <c r="G146" i="1" l="1"/>
  <c r="F145" i="1"/>
  <c r="E144" i="1"/>
  <c r="I144" i="1"/>
  <c r="E145" i="1" l="1"/>
  <c r="I145" i="1"/>
  <c r="G147" i="1"/>
  <c r="F146" i="1"/>
  <c r="G148" i="1" l="1"/>
  <c r="F147" i="1"/>
  <c r="E146" i="1"/>
  <c r="I146" i="1"/>
  <c r="E147" i="1" l="1"/>
  <c r="I147" i="1"/>
  <c r="G149" i="1"/>
  <c r="F148" i="1"/>
  <c r="E148" i="1" l="1"/>
  <c r="I148" i="1"/>
  <c r="G150" i="1"/>
  <c r="F149" i="1"/>
  <c r="E149" i="1" l="1"/>
  <c r="I149" i="1"/>
  <c r="G151" i="1"/>
  <c r="F150" i="1"/>
  <c r="E150" i="1" l="1"/>
  <c r="I150" i="1"/>
  <c r="G152" i="1"/>
  <c r="F151" i="1"/>
  <c r="E151" i="1" l="1"/>
  <c r="I151" i="1"/>
  <c r="G153" i="1"/>
  <c r="F152" i="1"/>
  <c r="G154" i="1" l="1"/>
  <c r="F153" i="1"/>
  <c r="E152" i="1"/>
  <c r="I152" i="1"/>
  <c r="E153" i="1" l="1"/>
  <c r="I153" i="1"/>
  <c r="G155" i="1"/>
  <c r="F154" i="1"/>
  <c r="G156" i="1" l="1"/>
  <c r="F155" i="1"/>
  <c r="E154" i="1"/>
  <c r="I154" i="1"/>
  <c r="E155" i="1" l="1"/>
  <c r="I155" i="1"/>
  <c r="G157" i="1"/>
  <c r="F156" i="1"/>
  <c r="E156" i="1" l="1"/>
  <c r="I156" i="1"/>
  <c r="G158" i="1"/>
  <c r="F157" i="1"/>
  <c r="E157" i="1" l="1"/>
  <c r="I157" i="1"/>
  <c r="G159" i="1"/>
  <c r="F158" i="1"/>
  <c r="E158" i="1" l="1"/>
  <c r="I158" i="1"/>
  <c r="G160" i="1"/>
  <c r="F159" i="1"/>
  <c r="E159" i="1" l="1"/>
  <c r="I159" i="1"/>
  <c r="G161" i="1"/>
  <c r="F160" i="1"/>
  <c r="E160" i="1" l="1"/>
  <c r="I160" i="1"/>
  <c r="G162" i="1"/>
  <c r="F161" i="1"/>
  <c r="E161" i="1" l="1"/>
  <c r="I161" i="1"/>
  <c r="G163" i="1"/>
  <c r="F162" i="1"/>
  <c r="E162" i="1" l="1"/>
  <c r="I162" i="1"/>
  <c r="G164" i="1"/>
  <c r="F163" i="1"/>
  <c r="G165" i="1" l="1"/>
  <c r="F164" i="1"/>
  <c r="E163" i="1"/>
  <c r="I163" i="1"/>
  <c r="E164" i="1" l="1"/>
  <c r="I164" i="1"/>
  <c r="G166" i="1"/>
  <c r="F165" i="1"/>
  <c r="E165" i="1" l="1"/>
  <c r="I165" i="1"/>
  <c r="G167" i="1"/>
  <c r="F166" i="1"/>
  <c r="E166" i="1" l="1"/>
  <c r="I166" i="1"/>
  <c r="G168" i="1"/>
  <c r="F167" i="1"/>
  <c r="E167" i="1" l="1"/>
  <c r="I167" i="1"/>
  <c r="G169" i="1"/>
  <c r="F168" i="1"/>
  <c r="E168" i="1" l="1"/>
  <c r="I168" i="1"/>
  <c r="G170" i="1"/>
  <c r="F169" i="1"/>
  <c r="G171" i="1" l="1"/>
  <c r="F170" i="1"/>
  <c r="E169" i="1"/>
  <c r="I169" i="1"/>
  <c r="E170" i="1" l="1"/>
  <c r="I170" i="1"/>
  <c r="G172" i="1"/>
  <c r="F171" i="1"/>
  <c r="G173" i="1" l="1"/>
  <c r="F172" i="1"/>
  <c r="E171" i="1"/>
  <c r="I171" i="1"/>
  <c r="E172" i="1" l="1"/>
  <c r="I172" i="1"/>
  <c r="G174" i="1"/>
  <c r="F173" i="1"/>
  <c r="E173" i="1" l="1"/>
  <c r="I173" i="1"/>
  <c r="G175" i="1"/>
  <c r="F174" i="1"/>
  <c r="E174" i="1" l="1"/>
  <c r="I174" i="1"/>
  <c r="G176" i="1"/>
  <c r="F175" i="1"/>
  <c r="G177" i="1" l="1"/>
  <c r="F176" i="1"/>
  <c r="E175" i="1"/>
  <c r="I175" i="1"/>
  <c r="E176" i="1" l="1"/>
  <c r="I176" i="1"/>
  <c r="G178" i="1"/>
  <c r="F177" i="1"/>
  <c r="G179" i="1" l="1"/>
  <c r="F178" i="1"/>
  <c r="E177" i="1"/>
  <c r="I177" i="1"/>
  <c r="E178" i="1" l="1"/>
  <c r="I178" i="1"/>
  <c r="G180" i="1"/>
  <c r="F179" i="1"/>
  <c r="E179" i="1" l="1"/>
  <c r="I179" i="1"/>
  <c r="G181" i="1"/>
  <c r="F180" i="1"/>
  <c r="G182" i="1" l="1"/>
  <c r="F181" i="1"/>
  <c r="E180" i="1"/>
  <c r="I180" i="1"/>
  <c r="E181" i="1" l="1"/>
  <c r="I181" i="1"/>
  <c r="G183" i="1"/>
  <c r="F182" i="1"/>
  <c r="G184" i="1" l="1"/>
  <c r="F183" i="1"/>
  <c r="E182" i="1"/>
  <c r="I182" i="1"/>
  <c r="E183" i="1" l="1"/>
  <c r="I183" i="1"/>
  <c r="G185" i="1"/>
  <c r="F184" i="1"/>
  <c r="E184" i="1" l="1"/>
  <c r="I184" i="1"/>
  <c r="G186" i="1"/>
  <c r="F185" i="1"/>
  <c r="G187" i="1" l="1"/>
  <c r="F186" i="1"/>
  <c r="E185" i="1"/>
  <c r="I185" i="1"/>
  <c r="G188" i="1" l="1"/>
  <c r="F187" i="1"/>
  <c r="E186" i="1"/>
  <c r="I186" i="1"/>
  <c r="E187" i="1" l="1"/>
  <c r="I187" i="1"/>
  <c r="G189" i="1"/>
  <c r="F188" i="1"/>
  <c r="G190" i="1" l="1"/>
  <c r="F189" i="1"/>
  <c r="E188" i="1"/>
  <c r="I188" i="1"/>
  <c r="E189" i="1" l="1"/>
  <c r="I189" i="1"/>
  <c r="G191" i="1"/>
  <c r="F190" i="1"/>
  <c r="E190" i="1" l="1"/>
  <c r="I190" i="1"/>
  <c r="G192" i="1"/>
  <c r="F191" i="1"/>
  <c r="G193" i="1" l="1"/>
  <c r="F192" i="1"/>
  <c r="E191" i="1"/>
  <c r="I191" i="1"/>
  <c r="E192" i="1" l="1"/>
  <c r="I192" i="1"/>
  <c r="G194" i="1"/>
  <c r="F193" i="1"/>
  <c r="E193" i="1" l="1"/>
  <c r="I193" i="1"/>
  <c r="G195" i="1"/>
  <c r="F194" i="1"/>
  <c r="E194" i="1" l="1"/>
  <c r="I194" i="1"/>
  <c r="G196" i="1"/>
  <c r="F195" i="1"/>
  <c r="E195" i="1" l="1"/>
  <c r="I195" i="1"/>
  <c r="G197" i="1"/>
  <c r="F196" i="1"/>
  <c r="E196" i="1" l="1"/>
  <c r="I196" i="1"/>
  <c r="G198" i="1"/>
  <c r="F197" i="1"/>
  <c r="G199" i="1" l="1"/>
  <c r="F198" i="1"/>
  <c r="E197" i="1"/>
  <c r="I197" i="1"/>
  <c r="E198" i="1" l="1"/>
  <c r="I198" i="1"/>
  <c r="G200" i="1"/>
  <c r="F199" i="1"/>
  <c r="G201" i="1" l="1"/>
  <c r="F200" i="1"/>
  <c r="E199" i="1"/>
  <c r="I199" i="1"/>
  <c r="E200" i="1" l="1"/>
  <c r="I200" i="1"/>
  <c r="G202" i="1"/>
  <c r="F201" i="1"/>
  <c r="G203" i="1" l="1"/>
  <c r="F202" i="1"/>
  <c r="E201" i="1"/>
  <c r="I201" i="1"/>
  <c r="E202" i="1" l="1"/>
  <c r="I202" i="1"/>
  <c r="G204" i="1"/>
  <c r="F203" i="1"/>
  <c r="E203" i="1" l="1"/>
  <c r="I203" i="1"/>
  <c r="G205" i="1"/>
  <c r="F204" i="1"/>
  <c r="E204" i="1" l="1"/>
  <c r="I204" i="1"/>
  <c r="G206" i="1"/>
  <c r="F205" i="1"/>
  <c r="E205" i="1" l="1"/>
  <c r="I205" i="1"/>
  <c r="G207" i="1"/>
  <c r="F206" i="1"/>
  <c r="G208" i="1" l="1"/>
  <c r="F207" i="1"/>
  <c r="E206" i="1"/>
  <c r="I206" i="1"/>
  <c r="G209" i="1" l="1"/>
  <c r="F208" i="1"/>
  <c r="E207" i="1"/>
  <c r="I207" i="1"/>
  <c r="E208" i="1" l="1"/>
  <c r="I208" i="1"/>
  <c r="G210" i="1"/>
  <c r="F209" i="1"/>
  <c r="E209" i="1" l="1"/>
  <c r="I209" i="1"/>
  <c r="G211" i="1"/>
  <c r="F210" i="1"/>
  <c r="E210" i="1" l="1"/>
  <c r="I210" i="1"/>
  <c r="G212" i="1"/>
  <c r="F211" i="1"/>
  <c r="G213" i="1" l="1"/>
  <c r="F212" i="1"/>
  <c r="E211" i="1"/>
  <c r="I211" i="1"/>
  <c r="E212" i="1" l="1"/>
  <c r="I212" i="1"/>
  <c r="G214" i="1"/>
  <c r="F213" i="1"/>
  <c r="E213" i="1" l="1"/>
  <c r="I213" i="1"/>
  <c r="G215" i="1"/>
  <c r="F214" i="1"/>
  <c r="G216" i="1" l="1"/>
  <c r="F215" i="1"/>
  <c r="E214" i="1"/>
  <c r="I214" i="1"/>
  <c r="G217" i="1" l="1"/>
  <c r="F216" i="1"/>
  <c r="E215" i="1"/>
  <c r="I215" i="1"/>
  <c r="G218" i="1" l="1"/>
  <c r="F217" i="1"/>
  <c r="E216" i="1"/>
  <c r="I216" i="1"/>
  <c r="E217" i="1" l="1"/>
  <c r="I217" i="1"/>
  <c r="G219" i="1"/>
  <c r="F218" i="1"/>
  <c r="E218" i="1" l="1"/>
  <c r="I218" i="1"/>
  <c r="G220" i="1"/>
  <c r="F219" i="1"/>
  <c r="E219" i="1" l="1"/>
  <c r="I219" i="1"/>
  <c r="G221" i="1"/>
  <c r="F220" i="1"/>
  <c r="G222" i="1" l="1"/>
  <c r="F221" i="1"/>
  <c r="E220" i="1"/>
  <c r="I220" i="1"/>
  <c r="E221" i="1" l="1"/>
  <c r="I221" i="1"/>
  <c r="G223" i="1"/>
  <c r="F222" i="1"/>
  <c r="E222" i="1" l="1"/>
  <c r="I222" i="1"/>
  <c r="G224" i="1"/>
  <c r="F223" i="1"/>
  <c r="E223" i="1" l="1"/>
  <c r="I223" i="1"/>
  <c r="G225" i="1"/>
  <c r="F224" i="1"/>
  <c r="E224" i="1" l="1"/>
  <c r="I224" i="1"/>
  <c r="G226" i="1"/>
  <c r="F225" i="1"/>
  <c r="G227" i="1" l="1"/>
  <c r="F226" i="1"/>
  <c r="E225" i="1"/>
  <c r="I225" i="1"/>
  <c r="G228" i="1" l="1"/>
  <c r="F227" i="1"/>
  <c r="E226" i="1"/>
  <c r="I226" i="1"/>
  <c r="E227" i="1" l="1"/>
  <c r="I227" i="1"/>
  <c r="G229" i="1"/>
  <c r="F228" i="1"/>
  <c r="E228" i="1" l="1"/>
  <c r="I228" i="1"/>
  <c r="G230" i="1"/>
  <c r="F229" i="1"/>
  <c r="E229" i="1" l="1"/>
  <c r="I229" i="1"/>
  <c r="G231" i="1"/>
  <c r="F230" i="1"/>
  <c r="E230" i="1" l="1"/>
  <c r="I230" i="1"/>
  <c r="G232" i="1"/>
  <c r="F231" i="1"/>
  <c r="G233" i="1" l="1"/>
  <c r="F232" i="1"/>
  <c r="E231" i="1"/>
  <c r="I231" i="1"/>
  <c r="G234" i="1" l="1"/>
  <c r="F233" i="1"/>
  <c r="E232" i="1"/>
  <c r="I232" i="1"/>
  <c r="E233" i="1" l="1"/>
  <c r="I233" i="1"/>
  <c r="G235" i="1"/>
  <c r="F234" i="1"/>
  <c r="G236" i="1" l="1"/>
  <c r="F235" i="1"/>
  <c r="E234" i="1"/>
  <c r="I234" i="1"/>
  <c r="E235" i="1" l="1"/>
  <c r="I235" i="1"/>
  <c r="G237" i="1"/>
  <c r="F236" i="1"/>
  <c r="E236" i="1" l="1"/>
  <c r="I236" i="1"/>
  <c r="G238" i="1"/>
  <c r="F237" i="1"/>
  <c r="E237" i="1" l="1"/>
  <c r="I237" i="1"/>
  <c r="G239" i="1"/>
  <c r="F238" i="1"/>
  <c r="E238" i="1" l="1"/>
  <c r="I238" i="1"/>
  <c r="G240" i="1"/>
  <c r="F239" i="1"/>
  <c r="E239" i="1" l="1"/>
  <c r="I239" i="1"/>
  <c r="G241" i="1"/>
  <c r="F240" i="1"/>
  <c r="G242" i="1" l="1"/>
  <c r="F241" i="1"/>
  <c r="E240" i="1"/>
  <c r="I240" i="1"/>
  <c r="E241" i="1" l="1"/>
  <c r="I241" i="1"/>
  <c r="G243" i="1"/>
  <c r="F242" i="1"/>
  <c r="G244" i="1" l="1"/>
  <c r="F243" i="1"/>
  <c r="E242" i="1"/>
  <c r="I242" i="1"/>
  <c r="E243" i="1" l="1"/>
  <c r="I243" i="1"/>
  <c r="G245" i="1"/>
  <c r="F244" i="1"/>
  <c r="E244" i="1" l="1"/>
  <c r="I244" i="1"/>
  <c r="G246" i="1"/>
  <c r="F245" i="1"/>
  <c r="G247" i="1" l="1"/>
  <c r="F246" i="1"/>
  <c r="E245" i="1"/>
  <c r="I245" i="1"/>
  <c r="E246" i="1" l="1"/>
  <c r="I246" i="1"/>
  <c r="G248" i="1"/>
  <c r="F247" i="1"/>
  <c r="E247" i="1" l="1"/>
  <c r="I247" i="1"/>
  <c r="G249" i="1"/>
  <c r="F248" i="1"/>
  <c r="G250" i="1" l="1"/>
  <c r="F249" i="1"/>
  <c r="E248" i="1"/>
  <c r="I248" i="1"/>
  <c r="E249" i="1" l="1"/>
  <c r="I249" i="1"/>
  <c r="G251" i="1"/>
  <c r="F250" i="1"/>
  <c r="G252" i="1" l="1"/>
  <c r="F251" i="1"/>
  <c r="E250" i="1"/>
  <c r="I250" i="1"/>
  <c r="E251" i="1" l="1"/>
  <c r="I251" i="1"/>
  <c r="G253" i="1"/>
  <c r="F252" i="1"/>
  <c r="G254" i="1" l="1"/>
  <c r="F253" i="1"/>
  <c r="E252" i="1"/>
  <c r="I252" i="1"/>
  <c r="E253" i="1" l="1"/>
  <c r="I253" i="1"/>
  <c r="G255" i="1"/>
  <c r="F254" i="1"/>
  <c r="G256" i="1" l="1"/>
  <c r="F255" i="1"/>
  <c r="E254" i="1"/>
  <c r="I254" i="1"/>
  <c r="E255" i="1" l="1"/>
  <c r="I255" i="1"/>
  <c r="G257" i="1"/>
  <c r="F256" i="1"/>
  <c r="E256" i="1" l="1"/>
  <c r="I256" i="1"/>
  <c r="G258" i="1"/>
  <c r="F257" i="1"/>
  <c r="G259" i="1" l="1"/>
  <c r="F258" i="1"/>
  <c r="E257" i="1"/>
  <c r="I257" i="1"/>
  <c r="E258" i="1" l="1"/>
  <c r="I258" i="1"/>
  <c r="G260" i="1"/>
  <c r="F259" i="1"/>
  <c r="G261" i="1" l="1"/>
  <c r="F260" i="1"/>
  <c r="E259" i="1"/>
  <c r="I259" i="1"/>
  <c r="E260" i="1" l="1"/>
  <c r="I260" i="1"/>
  <c r="G262" i="1"/>
  <c r="F261" i="1"/>
  <c r="G263" i="1" l="1"/>
  <c r="F262" i="1"/>
  <c r="E261" i="1"/>
  <c r="I261" i="1"/>
  <c r="E262" i="1" l="1"/>
  <c r="I262" i="1"/>
  <c r="G264" i="1"/>
  <c r="F263" i="1"/>
  <c r="G265" i="1" l="1"/>
  <c r="F264" i="1"/>
  <c r="E263" i="1"/>
  <c r="I263" i="1"/>
  <c r="E264" i="1" l="1"/>
  <c r="I264" i="1"/>
  <c r="G266" i="1"/>
  <c r="F265" i="1"/>
  <c r="G267" i="1" l="1"/>
  <c r="F266" i="1"/>
  <c r="E265" i="1"/>
  <c r="I265" i="1"/>
  <c r="E266" i="1" l="1"/>
  <c r="I266" i="1"/>
  <c r="G268" i="1"/>
  <c r="F267" i="1"/>
  <c r="G269" i="1" l="1"/>
  <c r="F268" i="1"/>
  <c r="E267" i="1"/>
  <c r="I267" i="1"/>
  <c r="E268" i="1" l="1"/>
  <c r="I268" i="1"/>
  <c r="G270" i="1"/>
  <c r="F269" i="1"/>
  <c r="G271" i="1" l="1"/>
  <c r="F270" i="1"/>
  <c r="E269" i="1"/>
  <c r="I269" i="1"/>
  <c r="E270" i="1" l="1"/>
  <c r="I270" i="1"/>
  <c r="G272" i="1"/>
  <c r="F271" i="1"/>
  <c r="G273" i="1" l="1"/>
  <c r="F272" i="1"/>
  <c r="E271" i="1"/>
  <c r="I271" i="1"/>
  <c r="E272" i="1" l="1"/>
  <c r="I272" i="1"/>
  <c r="G274" i="1"/>
  <c r="F273" i="1"/>
  <c r="G275" i="1" l="1"/>
  <c r="F274" i="1"/>
  <c r="E273" i="1"/>
  <c r="I273" i="1"/>
  <c r="E274" i="1" l="1"/>
  <c r="I274" i="1"/>
  <c r="G276" i="1"/>
  <c r="F275" i="1"/>
  <c r="G277" i="1" l="1"/>
  <c r="F276" i="1"/>
  <c r="E275" i="1"/>
  <c r="I275" i="1"/>
  <c r="E276" i="1" l="1"/>
  <c r="I276" i="1"/>
  <c r="G278" i="1"/>
  <c r="F277" i="1"/>
  <c r="G279" i="1" l="1"/>
  <c r="F278" i="1"/>
  <c r="E277" i="1"/>
  <c r="I277" i="1"/>
  <c r="E278" i="1" l="1"/>
  <c r="I278" i="1"/>
  <c r="G280" i="1"/>
  <c r="F279" i="1"/>
  <c r="G281" i="1" l="1"/>
  <c r="F280" i="1"/>
  <c r="E279" i="1"/>
  <c r="I279" i="1"/>
  <c r="E280" i="1" l="1"/>
  <c r="I280" i="1"/>
  <c r="G282" i="1"/>
  <c r="F281" i="1"/>
  <c r="G283" i="1" l="1"/>
  <c r="F282" i="1"/>
  <c r="E281" i="1"/>
  <c r="I281" i="1"/>
  <c r="E282" i="1" l="1"/>
  <c r="I282" i="1"/>
  <c r="G284" i="1"/>
  <c r="F283" i="1"/>
  <c r="G285" i="1" l="1"/>
  <c r="F284" i="1"/>
  <c r="E283" i="1"/>
  <c r="I283" i="1"/>
  <c r="E284" i="1" l="1"/>
  <c r="I284" i="1"/>
  <c r="G286" i="1"/>
  <c r="F285" i="1"/>
  <c r="G287" i="1" l="1"/>
  <c r="F286" i="1"/>
  <c r="E285" i="1"/>
  <c r="I285" i="1"/>
  <c r="E286" i="1" l="1"/>
  <c r="I286" i="1"/>
  <c r="G288" i="1"/>
  <c r="F287" i="1"/>
  <c r="G289" i="1" l="1"/>
  <c r="F288" i="1"/>
  <c r="E287" i="1"/>
  <c r="I287" i="1"/>
  <c r="E288" i="1" l="1"/>
  <c r="I288" i="1"/>
  <c r="G290" i="1"/>
  <c r="F289" i="1"/>
  <c r="G291" i="1" l="1"/>
  <c r="F290" i="1"/>
  <c r="E289" i="1"/>
  <c r="I289" i="1"/>
  <c r="E290" i="1" l="1"/>
  <c r="I290" i="1"/>
  <c r="G292" i="1"/>
  <c r="F291" i="1"/>
  <c r="G293" i="1" l="1"/>
  <c r="F292" i="1"/>
  <c r="E291" i="1"/>
  <c r="I291" i="1"/>
  <c r="E292" i="1" l="1"/>
  <c r="I292" i="1"/>
  <c r="G294" i="1"/>
  <c r="F293" i="1"/>
  <c r="G295" i="1" l="1"/>
  <c r="F294" i="1"/>
  <c r="E293" i="1"/>
  <c r="I293" i="1"/>
  <c r="E294" i="1" l="1"/>
  <c r="I294" i="1"/>
  <c r="G296" i="1"/>
  <c r="F295" i="1"/>
  <c r="G297" i="1" l="1"/>
  <c r="F296" i="1"/>
  <c r="E295" i="1"/>
  <c r="I295" i="1"/>
  <c r="E296" i="1" l="1"/>
  <c r="I296" i="1"/>
  <c r="G298" i="1"/>
  <c r="F297" i="1"/>
  <c r="G299" i="1" l="1"/>
  <c r="F298" i="1"/>
  <c r="E297" i="1"/>
  <c r="I297" i="1"/>
  <c r="E298" i="1" l="1"/>
  <c r="I298" i="1"/>
  <c r="G300" i="1"/>
  <c r="F299" i="1"/>
  <c r="E299" i="1" l="1"/>
  <c r="I299" i="1"/>
  <c r="G301" i="1"/>
  <c r="F300" i="1"/>
  <c r="G302" i="1" l="1"/>
  <c r="F301" i="1"/>
  <c r="E300" i="1"/>
  <c r="I300" i="1"/>
  <c r="E301" i="1" l="1"/>
  <c r="I301" i="1"/>
  <c r="G303" i="1"/>
  <c r="F302" i="1"/>
  <c r="E302" i="1" l="1"/>
  <c r="I302" i="1"/>
  <c r="G304" i="1"/>
  <c r="F303" i="1"/>
  <c r="G305" i="1" l="1"/>
  <c r="F304" i="1"/>
  <c r="E303" i="1"/>
  <c r="I303" i="1"/>
  <c r="E304" i="1" l="1"/>
  <c r="I304" i="1"/>
  <c r="G306" i="1"/>
  <c r="F305" i="1"/>
  <c r="E305" i="1" l="1"/>
  <c r="I305" i="1"/>
  <c r="G307" i="1"/>
  <c r="F306" i="1"/>
  <c r="G308" i="1" l="1"/>
  <c r="F307" i="1"/>
  <c r="E306" i="1"/>
  <c r="I306" i="1"/>
  <c r="E307" i="1" l="1"/>
  <c r="I307" i="1"/>
  <c r="G309" i="1"/>
  <c r="F308" i="1"/>
  <c r="G310" i="1" l="1"/>
  <c r="F309" i="1"/>
  <c r="E308" i="1"/>
  <c r="I308" i="1"/>
  <c r="E309" i="1" l="1"/>
  <c r="I309" i="1"/>
  <c r="G311" i="1"/>
  <c r="F310" i="1"/>
  <c r="E310" i="1" l="1"/>
  <c r="I310" i="1"/>
  <c r="G312" i="1"/>
  <c r="F311" i="1"/>
  <c r="E311" i="1" l="1"/>
  <c r="I311" i="1"/>
  <c r="G313" i="1"/>
  <c r="F312" i="1"/>
  <c r="E312" i="1" l="1"/>
  <c r="I312" i="1"/>
  <c r="G314" i="1"/>
  <c r="F313" i="1"/>
  <c r="G315" i="1" l="1"/>
  <c r="F314" i="1"/>
  <c r="E313" i="1"/>
  <c r="I313" i="1"/>
  <c r="E314" i="1" l="1"/>
  <c r="I314" i="1"/>
  <c r="G316" i="1"/>
  <c r="F315" i="1"/>
  <c r="E315" i="1" l="1"/>
  <c r="I315" i="1"/>
  <c r="G317" i="1"/>
  <c r="F316" i="1"/>
  <c r="E316" i="1" l="1"/>
  <c r="I316" i="1"/>
  <c r="G318" i="1"/>
  <c r="F317" i="1"/>
  <c r="G319" i="1" l="1"/>
  <c r="F318" i="1"/>
  <c r="E317" i="1"/>
  <c r="I317" i="1"/>
  <c r="G320" i="1" l="1"/>
  <c r="F319" i="1"/>
  <c r="E318" i="1"/>
  <c r="I318" i="1"/>
  <c r="E319" i="1" l="1"/>
  <c r="I319" i="1"/>
  <c r="G321" i="1"/>
  <c r="F320" i="1"/>
  <c r="E320" i="1" l="1"/>
  <c r="I320" i="1"/>
  <c r="G322" i="1"/>
  <c r="F321" i="1"/>
  <c r="E321" i="1" l="1"/>
  <c r="I321" i="1"/>
  <c r="G323" i="1"/>
  <c r="F322" i="1"/>
  <c r="E322" i="1" l="1"/>
  <c r="I322" i="1"/>
  <c r="G324" i="1"/>
  <c r="F323" i="1"/>
  <c r="G325" i="1" l="1"/>
  <c r="F324" i="1"/>
  <c r="E323" i="1"/>
  <c r="I323" i="1"/>
  <c r="E324" i="1" l="1"/>
  <c r="I324" i="1"/>
  <c r="G326" i="1"/>
  <c r="F325" i="1"/>
  <c r="E325" i="1" l="1"/>
  <c r="I325" i="1"/>
  <c r="G327" i="1"/>
  <c r="F326" i="1"/>
  <c r="G328" i="1" l="1"/>
  <c r="F327" i="1"/>
  <c r="E326" i="1"/>
  <c r="I326" i="1"/>
  <c r="E327" i="1" l="1"/>
  <c r="I327" i="1"/>
  <c r="G329" i="1"/>
  <c r="F328" i="1"/>
  <c r="G330" i="1" l="1"/>
  <c r="F329" i="1"/>
  <c r="E328" i="1"/>
  <c r="I328" i="1"/>
  <c r="E329" i="1" l="1"/>
  <c r="I329" i="1"/>
  <c r="G331" i="1"/>
  <c r="F330" i="1"/>
  <c r="E330" i="1" l="1"/>
  <c r="I330" i="1"/>
  <c r="G332" i="1"/>
  <c r="F331" i="1"/>
  <c r="G333" i="1" l="1"/>
  <c r="F332" i="1"/>
  <c r="E331" i="1"/>
  <c r="I331" i="1"/>
  <c r="E332" i="1" l="1"/>
  <c r="I332" i="1"/>
  <c r="G334" i="1"/>
  <c r="F333" i="1"/>
  <c r="E333" i="1" l="1"/>
  <c r="I333" i="1"/>
  <c r="G335" i="1"/>
  <c r="F334" i="1"/>
  <c r="G336" i="1" l="1"/>
  <c r="F335" i="1"/>
  <c r="E334" i="1"/>
  <c r="I334" i="1"/>
  <c r="E335" i="1" l="1"/>
  <c r="I335" i="1"/>
  <c r="G337" i="1"/>
  <c r="F336" i="1"/>
  <c r="G338" i="1" l="1"/>
  <c r="F337" i="1"/>
  <c r="E336" i="1"/>
  <c r="I336" i="1"/>
  <c r="G339" i="1" l="1"/>
  <c r="F338" i="1"/>
  <c r="E337" i="1"/>
  <c r="I337" i="1"/>
  <c r="E338" i="1" l="1"/>
  <c r="I338" i="1"/>
  <c r="G340" i="1"/>
  <c r="F339" i="1"/>
  <c r="E339" i="1" l="1"/>
  <c r="I339" i="1"/>
  <c r="G341" i="1"/>
  <c r="F340" i="1"/>
  <c r="G342" i="1" l="1"/>
  <c r="F341" i="1"/>
  <c r="E340" i="1"/>
  <c r="I340" i="1"/>
  <c r="E341" i="1" l="1"/>
  <c r="I341" i="1"/>
  <c r="G343" i="1"/>
  <c r="F342" i="1"/>
  <c r="E342" i="1" l="1"/>
  <c r="I342" i="1"/>
  <c r="G344" i="1"/>
  <c r="F343" i="1"/>
  <c r="E343" i="1" l="1"/>
  <c r="I343" i="1"/>
  <c r="G345" i="1"/>
  <c r="F344" i="1"/>
  <c r="E344" i="1" l="1"/>
  <c r="I344" i="1"/>
  <c r="G346" i="1"/>
  <c r="F345" i="1"/>
  <c r="E345" i="1" l="1"/>
  <c r="I345" i="1"/>
  <c r="G347" i="1"/>
  <c r="F346" i="1"/>
  <c r="E346" i="1" l="1"/>
  <c r="I346" i="1"/>
  <c r="G348" i="1"/>
  <c r="F347" i="1"/>
  <c r="E347" i="1" l="1"/>
  <c r="I347" i="1"/>
  <c r="G349" i="1"/>
  <c r="F348" i="1"/>
  <c r="E348" i="1" l="1"/>
  <c r="I348" i="1"/>
  <c r="G350" i="1"/>
  <c r="F349" i="1"/>
  <c r="G351" i="1" l="1"/>
  <c r="F350" i="1"/>
  <c r="E349" i="1"/>
  <c r="I349" i="1"/>
  <c r="E350" i="1" l="1"/>
  <c r="I350" i="1"/>
  <c r="G352" i="1"/>
  <c r="F351" i="1"/>
  <c r="E351" i="1" l="1"/>
  <c r="I351" i="1"/>
  <c r="G353" i="1"/>
  <c r="F352" i="1"/>
  <c r="E352" i="1" l="1"/>
  <c r="I352" i="1"/>
  <c r="G354" i="1"/>
  <c r="F353" i="1"/>
  <c r="E353" i="1" l="1"/>
  <c r="I353" i="1"/>
  <c r="G355" i="1"/>
  <c r="F354" i="1"/>
  <c r="E354" i="1" l="1"/>
  <c r="I354" i="1"/>
  <c r="G356" i="1"/>
  <c r="F355" i="1"/>
  <c r="E355" i="1" l="1"/>
  <c r="I355" i="1"/>
  <c r="G357" i="1"/>
  <c r="F356" i="1"/>
  <c r="G358" i="1" l="1"/>
  <c r="F357" i="1"/>
  <c r="E356" i="1"/>
  <c r="I356" i="1"/>
  <c r="E357" i="1" l="1"/>
  <c r="I357" i="1"/>
  <c r="G359" i="1"/>
  <c r="F358" i="1"/>
  <c r="G360" i="1" l="1"/>
  <c r="F359" i="1"/>
  <c r="E358" i="1"/>
  <c r="I358" i="1"/>
  <c r="E359" i="1" l="1"/>
  <c r="I359" i="1"/>
  <c r="G361" i="1"/>
  <c r="F360" i="1"/>
  <c r="G362" i="1" l="1"/>
  <c r="F361" i="1"/>
  <c r="E360" i="1"/>
  <c r="I360" i="1"/>
  <c r="E361" i="1" l="1"/>
  <c r="I361" i="1"/>
  <c r="G363" i="1"/>
  <c r="F362" i="1"/>
  <c r="E362" i="1" l="1"/>
  <c r="I362" i="1"/>
  <c r="G364" i="1"/>
  <c r="F363" i="1"/>
  <c r="E363" i="1" l="1"/>
  <c r="I363" i="1"/>
  <c r="G365" i="1"/>
  <c r="F364" i="1"/>
  <c r="E364" i="1" l="1"/>
  <c r="I364" i="1"/>
  <c r="G366" i="1"/>
  <c r="F365" i="1"/>
  <c r="E365" i="1" l="1"/>
  <c r="I365" i="1"/>
  <c r="G367" i="1"/>
  <c r="F366" i="1"/>
  <c r="E366" i="1" l="1"/>
  <c r="I366" i="1"/>
  <c r="G368" i="1"/>
  <c r="F367" i="1"/>
  <c r="G369" i="1" l="1"/>
  <c r="F368" i="1"/>
  <c r="E367" i="1"/>
  <c r="I367" i="1"/>
  <c r="E368" i="1" l="1"/>
  <c r="I368" i="1"/>
  <c r="G370" i="1"/>
  <c r="F369" i="1"/>
  <c r="E369" i="1" l="1"/>
  <c r="I369" i="1"/>
  <c r="G371" i="1"/>
  <c r="F370" i="1"/>
  <c r="G372" i="1" l="1"/>
  <c r="F371" i="1"/>
  <c r="E370" i="1"/>
  <c r="I370" i="1"/>
  <c r="E371" i="1" l="1"/>
  <c r="I371" i="1"/>
  <c r="G373" i="1"/>
  <c r="F372" i="1"/>
  <c r="E372" i="1" l="1"/>
  <c r="I372" i="1"/>
  <c r="G374" i="1"/>
  <c r="F373" i="1"/>
  <c r="E373" i="1" l="1"/>
  <c r="I373" i="1"/>
  <c r="G375" i="1"/>
  <c r="F374" i="1"/>
  <c r="G376" i="1" l="1"/>
  <c r="F375" i="1"/>
  <c r="E374" i="1"/>
  <c r="I374" i="1"/>
  <c r="E375" i="1" l="1"/>
  <c r="I375" i="1"/>
  <c r="G377" i="1"/>
  <c r="F376" i="1"/>
  <c r="E376" i="1" l="1"/>
  <c r="I376" i="1"/>
  <c r="G378" i="1"/>
  <c r="F377" i="1"/>
  <c r="E377" i="1" l="1"/>
  <c r="I377" i="1"/>
  <c r="G379" i="1"/>
  <c r="F378" i="1"/>
  <c r="E378" i="1" l="1"/>
  <c r="I378" i="1"/>
  <c r="G380" i="1"/>
  <c r="F379" i="1"/>
  <c r="E379" i="1" l="1"/>
  <c r="I379" i="1"/>
  <c r="G381" i="1"/>
  <c r="F380" i="1"/>
  <c r="G382" i="1" l="1"/>
  <c r="F381" i="1"/>
  <c r="E380" i="1"/>
  <c r="I380" i="1"/>
  <c r="E381" i="1" l="1"/>
  <c r="I381" i="1"/>
  <c r="G383" i="1"/>
  <c r="F382" i="1"/>
  <c r="E382" i="1" l="1"/>
  <c r="I382" i="1"/>
  <c r="G384" i="1"/>
  <c r="F383" i="1"/>
  <c r="E383" i="1" l="1"/>
  <c r="I383" i="1"/>
  <c r="G385" i="1"/>
  <c r="F384" i="1"/>
  <c r="E384" i="1" l="1"/>
  <c r="I384" i="1"/>
  <c r="G386" i="1"/>
  <c r="F385" i="1"/>
  <c r="E385" i="1" l="1"/>
  <c r="I385" i="1"/>
  <c r="G387" i="1"/>
  <c r="F386" i="1"/>
  <c r="E386" i="1" l="1"/>
  <c r="I386" i="1"/>
  <c r="G388" i="1"/>
  <c r="F387" i="1"/>
  <c r="E387" i="1" l="1"/>
  <c r="I387" i="1"/>
  <c r="G389" i="1"/>
  <c r="F388" i="1"/>
  <c r="E388" i="1" l="1"/>
  <c r="I388" i="1"/>
  <c r="G390" i="1"/>
  <c r="F389" i="1"/>
  <c r="E389" i="1" l="1"/>
  <c r="I389" i="1"/>
  <c r="G391" i="1"/>
  <c r="F390" i="1"/>
  <c r="E390" i="1" l="1"/>
  <c r="I390" i="1"/>
  <c r="G392" i="1"/>
  <c r="F391" i="1"/>
  <c r="E391" i="1" l="1"/>
  <c r="I391" i="1"/>
  <c r="G393" i="1"/>
  <c r="F392" i="1"/>
  <c r="G394" i="1" l="1"/>
  <c r="F393" i="1"/>
  <c r="E392" i="1"/>
  <c r="I392" i="1"/>
  <c r="E393" i="1" l="1"/>
  <c r="I393" i="1"/>
  <c r="G395" i="1"/>
  <c r="F394" i="1"/>
  <c r="G396" i="1" l="1"/>
  <c r="F395" i="1"/>
  <c r="E394" i="1"/>
  <c r="I394" i="1"/>
  <c r="E395" i="1" l="1"/>
  <c r="I395" i="1"/>
  <c r="G397" i="1"/>
  <c r="F396" i="1"/>
  <c r="E396" i="1" l="1"/>
  <c r="I396" i="1"/>
  <c r="G398" i="1"/>
  <c r="F397" i="1"/>
  <c r="E397" i="1" l="1"/>
  <c r="I397" i="1"/>
  <c r="G399" i="1"/>
  <c r="F398" i="1"/>
  <c r="E398" i="1" l="1"/>
  <c r="I398" i="1"/>
  <c r="G400" i="1"/>
  <c r="F399" i="1"/>
  <c r="G401" i="1" l="1"/>
  <c r="F400" i="1"/>
  <c r="E399" i="1"/>
  <c r="I399" i="1"/>
  <c r="E400" i="1" l="1"/>
  <c r="I400" i="1"/>
  <c r="G402" i="1"/>
  <c r="F401" i="1"/>
  <c r="E401" i="1" l="1"/>
  <c r="I401" i="1"/>
  <c r="G403" i="1"/>
  <c r="F402" i="1"/>
  <c r="G404" i="1" l="1"/>
  <c r="F403" i="1"/>
  <c r="E402" i="1"/>
  <c r="I402" i="1"/>
  <c r="E403" i="1" l="1"/>
  <c r="I403" i="1"/>
  <c r="G405" i="1"/>
  <c r="F404" i="1"/>
  <c r="E404" i="1" l="1"/>
  <c r="I404" i="1"/>
  <c r="G406" i="1"/>
  <c r="F405" i="1"/>
  <c r="E405" i="1" l="1"/>
  <c r="I405" i="1"/>
  <c r="G407" i="1"/>
  <c r="F406" i="1"/>
  <c r="E406" i="1" l="1"/>
  <c r="I406" i="1"/>
  <c r="G408" i="1"/>
  <c r="F407" i="1"/>
  <c r="E407" i="1" l="1"/>
  <c r="I407" i="1"/>
  <c r="G409" i="1"/>
  <c r="F408" i="1"/>
  <c r="E408" i="1" l="1"/>
  <c r="I408" i="1"/>
  <c r="G410" i="1"/>
  <c r="F409" i="1"/>
  <c r="E409" i="1" l="1"/>
  <c r="I409" i="1"/>
  <c r="G411" i="1"/>
  <c r="F410" i="1"/>
  <c r="G412" i="1" l="1"/>
  <c r="F411" i="1"/>
  <c r="E410" i="1"/>
  <c r="I410" i="1"/>
  <c r="E411" i="1" l="1"/>
  <c r="I411" i="1"/>
  <c r="G413" i="1"/>
  <c r="F412" i="1"/>
  <c r="E412" i="1" l="1"/>
  <c r="I412" i="1"/>
  <c r="G414" i="1"/>
  <c r="F413" i="1"/>
  <c r="E413" i="1" l="1"/>
  <c r="I413" i="1"/>
  <c r="G415" i="1"/>
  <c r="F414" i="1"/>
  <c r="E414" i="1" l="1"/>
  <c r="I414" i="1"/>
  <c r="G416" i="1"/>
  <c r="F415" i="1"/>
  <c r="E415" i="1" l="1"/>
  <c r="I415" i="1"/>
  <c r="G417" i="1"/>
  <c r="F416" i="1"/>
  <c r="E416" i="1" l="1"/>
  <c r="I416" i="1"/>
  <c r="G418" i="1"/>
  <c r="F417" i="1"/>
  <c r="E417" i="1" l="1"/>
  <c r="I417" i="1"/>
  <c r="G419" i="1"/>
  <c r="F418" i="1"/>
  <c r="E418" i="1" l="1"/>
  <c r="I418" i="1"/>
  <c r="G420" i="1"/>
  <c r="F419" i="1"/>
  <c r="E419" i="1" l="1"/>
  <c r="I419" i="1"/>
  <c r="G421" i="1"/>
  <c r="F420" i="1"/>
  <c r="E420" i="1" l="1"/>
  <c r="I420" i="1"/>
  <c r="G422" i="1"/>
  <c r="F421" i="1"/>
  <c r="E421" i="1" l="1"/>
  <c r="I421" i="1"/>
  <c r="G423" i="1"/>
  <c r="F422" i="1"/>
  <c r="E422" i="1" l="1"/>
  <c r="I422" i="1"/>
  <c r="G424" i="1"/>
  <c r="F423" i="1"/>
  <c r="E423" i="1" l="1"/>
  <c r="I423" i="1"/>
  <c r="G425" i="1"/>
  <c r="F424" i="1"/>
  <c r="E424" i="1" l="1"/>
  <c r="I424" i="1"/>
  <c r="G426" i="1"/>
  <c r="F425" i="1"/>
  <c r="E425" i="1" l="1"/>
  <c r="I425" i="1"/>
  <c r="G427" i="1"/>
  <c r="F426" i="1"/>
  <c r="G428" i="1" l="1"/>
  <c r="F427" i="1"/>
  <c r="E426" i="1"/>
  <c r="I426" i="1"/>
  <c r="G429" i="1" l="1"/>
  <c r="F428" i="1"/>
  <c r="E427" i="1"/>
  <c r="I427" i="1"/>
  <c r="G430" i="1" l="1"/>
  <c r="F429" i="1"/>
  <c r="E428" i="1"/>
  <c r="I428" i="1"/>
  <c r="E429" i="1" l="1"/>
  <c r="I429" i="1"/>
  <c r="G431" i="1"/>
  <c r="F430" i="1"/>
  <c r="E430" i="1" l="1"/>
  <c r="I430" i="1"/>
  <c r="G432" i="1"/>
  <c r="F431" i="1"/>
  <c r="E431" i="1" l="1"/>
  <c r="I431" i="1"/>
  <c r="G433" i="1"/>
  <c r="F432" i="1"/>
  <c r="G434" i="1" l="1"/>
  <c r="F433" i="1"/>
  <c r="E432" i="1"/>
  <c r="I432" i="1"/>
  <c r="E433" i="1" l="1"/>
  <c r="I433" i="1"/>
  <c r="G435" i="1"/>
  <c r="F434" i="1"/>
  <c r="E434" i="1" l="1"/>
  <c r="I434" i="1"/>
  <c r="G436" i="1"/>
  <c r="F435" i="1"/>
  <c r="E435" i="1" l="1"/>
  <c r="I435" i="1"/>
  <c r="G437" i="1"/>
  <c r="F436" i="1"/>
  <c r="E436" i="1" l="1"/>
  <c r="I436" i="1"/>
  <c r="G438" i="1"/>
  <c r="F437" i="1"/>
  <c r="E437" i="1" l="1"/>
  <c r="I437" i="1"/>
  <c r="G439" i="1"/>
  <c r="F438" i="1"/>
  <c r="G440" i="1" l="1"/>
  <c r="F439" i="1"/>
  <c r="E438" i="1"/>
  <c r="I438" i="1"/>
  <c r="E439" i="1" l="1"/>
  <c r="I439" i="1"/>
  <c r="G441" i="1"/>
  <c r="F440" i="1"/>
  <c r="G442" i="1" l="1"/>
  <c r="F441" i="1"/>
  <c r="E440" i="1"/>
  <c r="I440" i="1"/>
  <c r="E441" i="1" l="1"/>
  <c r="I441" i="1"/>
  <c r="G443" i="1"/>
  <c r="F442" i="1"/>
  <c r="G444" i="1" l="1"/>
  <c r="F443" i="1"/>
  <c r="E442" i="1"/>
  <c r="I442" i="1"/>
  <c r="E443" i="1" l="1"/>
  <c r="I443" i="1"/>
  <c r="G445" i="1"/>
  <c r="F444" i="1"/>
  <c r="G446" i="1" l="1"/>
  <c r="F445" i="1"/>
  <c r="E444" i="1"/>
  <c r="I444" i="1"/>
  <c r="E445" i="1" l="1"/>
  <c r="I445" i="1"/>
  <c r="G447" i="1"/>
  <c r="F446" i="1"/>
  <c r="G448" i="1" l="1"/>
  <c r="F447" i="1"/>
  <c r="E446" i="1"/>
  <c r="I446" i="1"/>
  <c r="E447" i="1" l="1"/>
  <c r="I447" i="1"/>
  <c r="G449" i="1"/>
  <c r="F448" i="1"/>
  <c r="G450" i="1" l="1"/>
  <c r="F449" i="1"/>
  <c r="E448" i="1"/>
  <c r="I448" i="1"/>
  <c r="E449" i="1" l="1"/>
  <c r="I449" i="1"/>
  <c r="G451" i="1"/>
  <c r="F450" i="1"/>
  <c r="G452" i="1" l="1"/>
  <c r="F451" i="1"/>
  <c r="E450" i="1"/>
  <c r="I450" i="1"/>
  <c r="E451" i="1" l="1"/>
  <c r="I451" i="1"/>
  <c r="G453" i="1"/>
  <c r="F452" i="1"/>
  <c r="G454" i="1" l="1"/>
  <c r="F453" i="1"/>
  <c r="E452" i="1"/>
  <c r="I452" i="1"/>
  <c r="E453" i="1" l="1"/>
  <c r="I453" i="1"/>
  <c r="G455" i="1"/>
  <c r="F454" i="1"/>
  <c r="G456" i="1" l="1"/>
  <c r="F455" i="1"/>
  <c r="E454" i="1"/>
  <c r="I454" i="1"/>
  <c r="E455" i="1" l="1"/>
  <c r="I455" i="1"/>
  <c r="G457" i="1"/>
  <c r="F456" i="1"/>
  <c r="G458" i="1" l="1"/>
  <c r="F457" i="1"/>
  <c r="E456" i="1"/>
  <c r="I456" i="1"/>
  <c r="E457" i="1" l="1"/>
  <c r="I457" i="1"/>
  <c r="G459" i="1"/>
  <c r="F458" i="1"/>
  <c r="G460" i="1" l="1"/>
  <c r="F459" i="1"/>
  <c r="E458" i="1"/>
  <c r="I458" i="1"/>
  <c r="E459" i="1" l="1"/>
  <c r="I459" i="1"/>
  <c r="G461" i="1"/>
  <c r="F460" i="1"/>
  <c r="G462" i="1" l="1"/>
  <c r="F461" i="1"/>
  <c r="E460" i="1"/>
  <c r="I460" i="1"/>
  <c r="E461" i="1" l="1"/>
  <c r="I461" i="1"/>
  <c r="G463" i="1"/>
  <c r="F462" i="1"/>
  <c r="G464" i="1" l="1"/>
  <c r="F463" i="1"/>
  <c r="E462" i="1"/>
  <c r="I462" i="1"/>
  <c r="E463" i="1" l="1"/>
  <c r="I463" i="1"/>
  <c r="G465" i="1"/>
  <c r="F464" i="1"/>
  <c r="G466" i="1" l="1"/>
  <c r="F465" i="1"/>
  <c r="E464" i="1"/>
  <c r="I464" i="1"/>
  <c r="E465" i="1" l="1"/>
  <c r="I465" i="1"/>
  <c r="G467" i="1"/>
  <c r="F466" i="1"/>
  <c r="G468" i="1" l="1"/>
  <c r="F467" i="1"/>
  <c r="E466" i="1"/>
  <c r="I466" i="1"/>
  <c r="E467" i="1" l="1"/>
  <c r="I467" i="1"/>
  <c r="G469" i="1"/>
  <c r="F468" i="1"/>
  <c r="G470" i="1" l="1"/>
  <c r="F469" i="1"/>
  <c r="E468" i="1"/>
  <c r="I468" i="1"/>
  <c r="E469" i="1" l="1"/>
  <c r="I469" i="1"/>
  <c r="G471" i="1"/>
  <c r="F470" i="1"/>
  <c r="G472" i="1" l="1"/>
  <c r="F471" i="1"/>
  <c r="E470" i="1"/>
  <c r="I470" i="1"/>
  <c r="E471" i="1" l="1"/>
  <c r="I471" i="1"/>
  <c r="G473" i="1"/>
  <c r="F472" i="1"/>
  <c r="G474" i="1" l="1"/>
  <c r="F473" i="1"/>
  <c r="E472" i="1"/>
  <c r="I472" i="1"/>
  <c r="E473" i="1" l="1"/>
  <c r="I473" i="1"/>
  <c r="G475" i="1"/>
  <c r="F474" i="1"/>
  <c r="G476" i="1" l="1"/>
  <c r="F475" i="1"/>
  <c r="E474" i="1"/>
  <c r="I474" i="1"/>
  <c r="E475" i="1" l="1"/>
  <c r="I475" i="1"/>
  <c r="G477" i="1"/>
  <c r="F476" i="1"/>
  <c r="G478" i="1" l="1"/>
  <c r="F477" i="1"/>
  <c r="E476" i="1"/>
  <c r="I476" i="1"/>
  <c r="E477" i="1" l="1"/>
  <c r="I477" i="1"/>
  <c r="G479" i="1"/>
  <c r="F478" i="1"/>
  <c r="G480" i="1" l="1"/>
  <c r="F479" i="1"/>
  <c r="E478" i="1"/>
  <c r="I478" i="1"/>
  <c r="E479" i="1" l="1"/>
  <c r="I479" i="1"/>
  <c r="G481" i="1"/>
  <c r="F480" i="1"/>
  <c r="G482" i="1" l="1"/>
  <c r="F481" i="1"/>
  <c r="E480" i="1"/>
  <c r="I480" i="1"/>
  <c r="E481" i="1" l="1"/>
  <c r="I481" i="1"/>
  <c r="G483" i="1"/>
  <c r="F482" i="1"/>
  <c r="G484" i="1" l="1"/>
  <c r="F483" i="1"/>
  <c r="E482" i="1"/>
  <c r="I482" i="1"/>
  <c r="E483" i="1" l="1"/>
  <c r="I483" i="1"/>
  <c r="G485" i="1"/>
  <c r="F484" i="1"/>
  <c r="E484" i="1" l="1"/>
  <c r="I484" i="1"/>
  <c r="G486" i="1"/>
  <c r="F485" i="1"/>
  <c r="G487" i="1" l="1"/>
  <c r="F486" i="1"/>
  <c r="E485" i="1"/>
  <c r="I485" i="1"/>
  <c r="E486" i="1" l="1"/>
  <c r="I486" i="1"/>
  <c r="G488" i="1"/>
  <c r="F487" i="1"/>
  <c r="G489" i="1" l="1"/>
  <c r="F488" i="1"/>
  <c r="E487" i="1"/>
  <c r="I487" i="1"/>
  <c r="E488" i="1" l="1"/>
  <c r="I488" i="1"/>
  <c r="G490" i="1"/>
  <c r="F489" i="1"/>
  <c r="G491" i="1" l="1"/>
  <c r="F490" i="1"/>
  <c r="E489" i="1"/>
  <c r="I489" i="1"/>
  <c r="E490" i="1" l="1"/>
  <c r="I490" i="1"/>
  <c r="G492" i="1"/>
  <c r="F491" i="1"/>
  <c r="G493" i="1" l="1"/>
  <c r="F492" i="1"/>
  <c r="E491" i="1"/>
  <c r="I491" i="1"/>
  <c r="E492" i="1" l="1"/>
  <c r="I492" i="1"/>
  <c r="G494" i="1"/>
  <c r="F493" i="1"/>
  <c r="G495" i="1" l="1"/>
  <c r="F494" i="1"/>
  <c r="E493" i="1"/>
  <c r="I493" i="1"/>
  <c r="E494" i="1" l="1"/>
  <c r="I494" i="1"/>
  <c r="G496" i="1"/>
  <c r="F495" i="1"/>
  <c r="E495" i="1" l="1"/>
  <c r="I495" i="1"/>
  <c r="G497" i="1"/>
  <c r="F496" i="1"/>
  <c r="G498" i="1" l="1"/>
  <c r="F497" i="1"/>
  <c r="E496" i="1"/>
  <c r="I496" i="1"/>
  <c r="E497" i="1" l="1"/>
  <c r="I497" i="1"/>
  <c r="G499" i="1"/>
  <c r="F498" i="1"/>
  <c r="G500" i="1" l="1"/>
  <c r="F499" i="1"/>
  <c r="E498" i="1"/>
  <c r="I498" i="1"/>
  <c r="E499" i="1" l="1"/>
  <c r="I499" i="1"/>
  <c r="G501" i="1"/>
  <c r="F500" i="1"/>
  <c r="G502" i="1" l="1"/>
  <c r="F501" i="1"/>
  <c r="E500" i="1"/>
  <c r="I500" i="1"/>
  <c r="E501" i="1" l="1"/>
  <c r="I501" i="1"/>
  <c r="G503" i="1"/>
  <c r="F502" i="1"/>
  <c r="E502" i="1" l="1"/>
  <c r="I502" i="1"/>
  <c r="G504" i="1"/>
  <c r="F503" i="1"/>
  <c r="E503" i="1" l="1"/>
  <c r="I503" i="1"/>
  <c r="G505" i="1"/>
  <c r="F504" i="1"/>
  <c r="E504" i="1" l="1"/>
  <c r="I504" i="1"/>
  <c r="G506" i="1"/>
  <c r="F505" i="1"/>
  <c r="E505" i="1" l="1"/>
  <c r="I505" i="1"/>
  <c r="G507" i="1"/>
  <c r="F506" i="1"/>
  <c r="G508" i="1" l="1"/>
  <c r="F507" i="1"/>
  <c r="E506" i="1"/>
  <c r="I506" i="1"/>
  <c r="E507" i="1" l="1"/>
  <c r="I507" i="1"/>
  <c r="G509" i="1"/>
  <c r="F508" i="1"/>
  <c r="E508" i="1" l="1"/>
  <c r="I508" i="1"/>
  <c r="G510" i="1"/>
  <c r="F509" i="1"/>
  <c r="E509" i="1" l="1"/>
  <c r="I509" i="1"/>
  <c r="G511" i="1"/>
  <c r="F510" i="1"/>
  <c r="G512" i="1" l="1"/>
  <c r="F511" i="1"/>
  <c r="E510" i="1"/>
  <c r="I510" i="1"/>
  <c r="E511" i="1" l="1"/>
  <c r="I511" i="1"/>
  <c r="G513" i="1"/>
  <c r="F512" i="1"/>
  <c r="G514" i="1" l="1"/>
  <c r="F513" i="1"/>
  <c r="E512" i="1"/>
  <c r="I512" i="1"/>
  <c r="E513" i="1" l="1"/>
  <c r="I513" i="1"/>
  <c r="G515" i="1"/>
  <c r="F514" i="1"/>
  <c r="G516" i="1" l="1"/>
  <c r="F515" i="1"/>
  <c r="E514" i="1"/>
  <c r="I514" i="1"/>
  <c r="E515" i="1" l="1"/>
  <c r="I515" i="1"/>
  <c r="G517" i="1"/>
  <c r="F516" i="1"/>
  <c r="G518" i="1" l="1"/>
  <c r="F517" i="1"/>
  <c r="E516" i="1"/>
  <c r="I516" i="1"/>
  <c r="E517" i="1" l="1"/>
  <c r="I517" i="1"/>
  <c r="G519" i="1"/>
  <c r="F518" i="1"/>
  <c r="G520" i="1" l="1"/>
  <c r="F519" i="1"/>
  <c r="E518" i="1"/>
  <c r="I518" i="1"/>
  <c r="E519" i="1" l="1"/>
  <c r="I519" i="1"/>
  <c r="G521" i="1"/>
  <c r="F520" i="1"/>
  <c r="G522" i="1" l="1"/>
  <c r="F521" i="1"/>
  <c r="E520" i="1"/>
  <c r="I520" i="1"/>
  <c r="E521" i="1" l="1"/>
  <c r="I521" i="1"/>
  <c r="G523" i="1"/>
  <c r="F522" i="1"/>
  <c r="G524" i="1" l="1"/>
  <c r="F523" i="1"/>
  <c r="E522" i="1"/>
  <c r="I522" i="1"/>
  <c r="E523" i="1" l="1"/>
  <c r="I523" i="1"/>
  <c r="G525" i="1"/>
  <c r="F524" i="1"/>
  <c r="E524" i="1" l="1"/>
  <c r="I524" i="1"/>
  <c r="G526" i="1"/>
  <c r="F525" i="1"/>
  <c r="E525" i="1" l="1"/>
  <c r="I525" i="1"/>
  <c r="G527" i="1"/>
  <c r="F526" i="1"/>
  <c r="G528" i="1" l="1"/>
  <c r="F527" i="1"/>
  <c r="E526" i="1"/>
  <c r="I526" i="1"/>
  <c r="E527" i="1" l="1"/>
  <c r="I527" i="1"/>
  <c r="G529" i="1"/>
  <c r="F528" i="1"/>
  <c r="E528" i="1" l="1"/>
  <c r="I528" i="1"/>
  <c r="G530" i="1"/>
  <c r="F529" i="1"/>
  <c r="G531" i="1" l="1"/>
  <c r="F530" i="1"/>
  <c r="E529" i="1"/>
  <c r="I529" i="1"/>
  <c r="E530" i="1" l="1"/>
  <c r="I530" i="1"/>
  <c r="G532" i="1"/>
  <c r="F531" i="1"/>
  <c r="G533" i="1" l="1"/>
  <c r="F532" i="1"/>
  <c r="E531" i="1"/>
  <c r="I531" i="1"/>
  <c r="E532" i="1" l="1"/>
  <c r="I532" i="1"/>
  <c r="G534" i="1"/>
  <c r="F533" i="1"/>
  <c r="E533" i="1" l="1"/>
  <c r="I533" i="1"/>
  <c r="G535" i="1"/>
  <c r="F534" i="1"/>
  <c r="G536" i="1" l="1"/>
  <c r="F535" i="1"/>
  <c r="E534" i="1"/>
  <c r="I534" i="1"/>
  <c r="E535" i="1" l="1"/>
  <c r="I535" i="1"/>
  <c r="G537" i="1"/>
  <c r="F536" i="1"/>
  <c r="G538" i="1" l="1"/>
  <c r="F537" i="1"/>
  <c r="E536" i="1"/>
  <c r="I536" i="1"/>
  <c r="E537" i="1" l="1"/>
  <c r="I537" i="1"/>
  <c r="G539" i="1"/>
  <c r="F538" i="1"/>
  <c r="G540" i="1" l="1"/>
  <c r="F539" i="1"/>
  <c r="E538" i="1"/>
  <c r="I538" i="1"/>
  <c r="E539" i="1" l="1"/>
  <c r="I539" i="1"/>
  <c r="G541" i="1"/>
  <c r="F540" i="1"/>
  <c r="E540" i="1" l="1"/>
  <c r="I540" i="1"/>
  <c r="G542" i="1"/>
  <c r="F541" i="1"/>
  <c r="G543" i="1" l="1"/>
  <c r="F542" i="1"/>
  <c r="E541" i="1"/>
  <c r="I541" i="1"/>
  <c r="E542" i="1" l="1"/>
  <c r="I542" i="1"/>
  <c r="G544" i="1"/>
  <c r="F543" i="1"/>
  <c r="E543" i="1" l="1"/>
  <c r="I543" i="1"/>
  <c r="G545" i="1"/>
  <c r="F544" i="1"/>
  <c r="E544" i="1" l="1"/>
  <c r="I544" i="1"/>
  <c r="G546" i="1"/>
  <c r="F545" i="1"/>
  <c r="G547" i="1" l="1"/>
  <c r="F546" i="1"/>
  <c r="E545" i="1"/>
  <c r="I545" i="1"/>
  <c r="E546" i="1" l="1"/>
  <c r="I546" i="1"/>
  <c r="G548" i="1"/>
  <c r="F547" i="1"/>
  <c r="G549" i="1" l="1"/>
  <c r="F548" i="1"/>
  <c r="E547" i="1"/>
  <c r="I547" i="1"/>
  <c r="E548" i="1" l="1"/>
  <c r="I548" i="1"/>
  <c r="G550" i="1"/>
  <c r="F549" i="1"/>
  <c r="G551" i="1" l="1"/>
  <c r="F550" i="1"/>
  <c r="E549" i="1"/>
  <c r="I549" i="1"/>
  <c r="E550" i="1" l="1"/>
  <c r="I550" i="1"/>
  <c r="G552" i="1"/>
  <c r="F551" i="1"/>
  <c r="G553" i="1" l="1"/>
  <c r="F552" i="1"/>
  <c r="E551" i="1"/>
  <c r="I551" i="1"/>
  <c r="E552" i="1" l="1"/>
  <c r="I552" i="1"/>
  <c r="G554" i="1"/>
  <c r="F553" i="1"/>
  <c r="G555" i="1" l="1"/>
  <c r="F554" i="1"/>
  <c r="E553" i="1"/>
  <c r="I553" i="1"/>
  <c r="E554" i="1" l="1"/>
  <c r="I554" i="1"/>
  <c r="G556" i="1"/>
  <c r="F555" i="1"/>
  <c r="E555" i="1" l="1"/>
  <c r="I555" i="1"/>
  <c r="G557" i="1"/>
  <c r="F556" i="1"/>
  <c r="E556" i="1" l="1"/>
  <c r="I556" i="1"/>
  <c r="G558" i="1"/>
  <c r="F557" i="1"/>
  <c r="G559" i="1" l="1"/>
  <c r="F558" i="1"/>
  <c r="E557" i="1"/>
  <c r="I557" i="1"/>
  <c r="E558" i="1" l="1"/>
  <c r="I558" i="1"/>
  <c r="G560" i="1"/>
  <c r="F559" i="1"/>
  <c r="G561" i="1" l="1"/>
  <c r="F560" i="1"/>
  <c r="E559" i="1"/>
  <c r="I559" i="1"/>
  <c r="E560" i="1" l="1"/>
  <c r="I560" i="1"/>
  <c r="G562" i="1"/>
  <c r="F561" i="1"/>
  <c r="G563" i="1" l="1"/>
  <c r="F562" i="1"/>
  <c r="E561" i="1"/>
  <c r="I561" i="1"/>
  <c r="E562" i="1" l="1"/>
  <c r="I562" i="1"/>
  <c r="G564" i="1"/>
  <c r="F563" i="1"/>
  <c r="E563" i="1" l="1"/>
  <c r="I563" i="1"/>
  <c r="G565" i="1"/>
  <c r="F564" i="1"/>
  <c r="G566" i="1" l="1"/>
  <c r="F565" i="1"/>
  <c r="E564" i="1"/>
  <c r="I564" i="1"/>
  <c r="E565" i="1" l="1"/>
  <c r="I565" i="1"/>
  <c r="G567" i="1"/>
  <c r="F566" i="1"/>
  <c r="G568" i="1" l="1"/>
  <c r="F567" i="1"/>
  <c r="E566" i="1"/>
  <c r="I566" i="1"/>
  <c r="E567" i="1" l="1"/>
  <c r="I567" i="1"/>
  <c r="G569" i="1"/>
  <c r="F568" i="1"/>
  <c r="G570" i="1" l="1"/>
  <c r="F569" i="1"/>
  <c r="E568" i="1"/>
  <c r="I568" i="1"/>
  <c r="E569" i="1" l="1"/>
  <c r="I569" i="1"/>
  <c r="G571" i="1"/>
  <c r="F570" i="1"/>
  <c r="G572" i="1" l="1"/>
  <c r="F571" i="1"/>
  <c r="E570" i="1"/>
  <c r="I570" i="1"/>
  <c r="E571" i="1" l="1"/>
  <c r="I571" i="1"/>
  <c r="G573" i="1"/>
  <c r="F572" i="1"/>
  <c r="G574" i="1" l="1"/>
  <c r="F573" i="1"/>
  <c r="E572" i="1"/>
  <c r="I572" i="1"/>
  <c r="E573" i="1" l="1"/>
  <c r="I573" i="1"/>
  <c r="G575" i="1"/>
  <c r="F574" i="1"/>
  <c r="E574" i="1" l="1"/>
  <c r="I574" i="1"/>
  <c r="G576" i="1"/>
  <c r="F575" i="1"/>
  <c r="G577" i="1" l="1"/>
  <c r="F576" i="1"/>
  <c r="E575" i="1"/>
  <c r="I575" i="1"/>
  <c r="E576" i="1" l="1"/>
  <c r="I576" i="1"/>
  <c r="G578" i="1"/>
  <c r="F577" i="1"/>
  <c r="G579" i="1" l="1"/>
  <c r="F578" i="1"/>
  <c r="E577" i="1"/>
  <c r="I577" i="1"/>
  <c r="E578" i="1" l="1"/>
  <c r="I578" i="1"/>
  <c r="G580" i="1"/>
  <c r="F579" i="1"/>
  <c r="G581" i="1" l="1"/>
  <c r="F580" i="1"/>
  <c r="E579" i="1"/>
  <c r="I579" i="1"/>
  <c r="E580" i="1" l="1"/>
  <c r="I580" i="1"/>
  <c r="G582" i="1"/>
  <c r="F581" i="1"/>
  <c r="G583" i="1" l="1"/>
  <c r="F582" i="1"/>
  <c r="E581" i="1"/>
  <c r="I581" i="1"/>
  <c r="E582" i="1" l="1"/>
  <c r="I582" i="1"/>
  <c r="G584" i="1"/>
  <c r="F583" i="1"/>
  <c r="G585" i="1" l="1"/>
  <c r="F584" i="1"/>
  <c r="E583" i="1"/>
  <c r="I583" i="1"/>
  <c r="E584" i="1" l="1"/>
  <c r="I584" i="1"/>
  <c r="G586" i="1"/>
  <c r="F585" i="1"/>
  <c r="E585" i="1" l="1"/>
  <c r="I585" i="1"/>
  <c r="G587" i="1"/>
  <c r="F586" i="1"/>
  <c r="G588" i="1" l="1"/>
  <c r="F587" i="1"/>
  <c r="E586" i="1"/>
  <c r="I586" i="1"/>
  <c r="E587" i="1" l="1"/>
  <c r="I587" i="1"/>
  <c r="G589" i="1"/>
  <c r="F588" i="1"/>
  <c r="E588" i="1" l="1"/>
  <c r="I588" i="1"/>
  <c r="G590" i="1"/>
  <c r="F589" i="1"/>
  <c r="E589" i="1" l="1"/>
  <c r="I589" i="1"/>
  <c r="G591" i="1"/>
  <c r="F590" i="1"/>
  <c r="G592" i="1" l="1"/>
  <c r="F591" i="1"/>
  <c r="E590" i="1"/>
  <c r="I590" i="1"/>
  <c r="E591" i="1" l="1"/>
  <c r="I591" i="1"/>
  <c r="G593" i="1"/>
  <c r="F592" i="1"/>
  <c r="G594" i="1" l="1"/>
  <c r="F593" i="1"/>
  <c r="E592" i="1"/>
  <c r="I592" i="1"/>
  <c r="E593" i="1" l="1"/>
  <c r="I593" i="1"/>
  <c r="G595" i="1"/>
  <c r="F594" i="1"/>
  <c r="E594" i="1" l="1"/>
  <c r="I594" i="1"/>
  <c r="G596" i="1"/>
  <c r="F595" i="1"/>
  <c r="G597" i="1" l="1"/>
  <c r="F596" i="1"/>
  <c r="E595" i="1"/>
  <c r="I595" i="1"/>
  <c r="E596" i="1" l="1"/>
  <c r="I596" i="1"/>
  <c r="G598" i="1"/>
  <c r="F597" i="1"/>
  <c r="E597" i="1" l="1"/>
  <c r="I597" i="1"/>
  <c r="G599" i="1"/>
  <c r="F598" i="1"/>
  <c r="E598" i="1" l="1"/>
  <c r="I598" i="1"/>
  <c r="G600" i="1"/>
  <c r="F599" i="1"/>
  <c r="E599" i="1" l="1"/>
  <c r="I599" i="1"/>
  <c r="G601" i="1"/>
  <c r="F600" i="1"/>
  <c r="G602" i="1" l="1"/>
  <c r="F601" i="1"/>
  <c r="E600" i="1"/>
  <c r="I600" i="1"/>
  <c r="E601" i="1" l="1"/>
  <c r="I601" i="1"/>
  <c r="G603" i="1"/>
  <c r="F602" i="1"/>
  <c r="G604" i="1" l="1"/>
  <c r="F603" i="1"/>
  <c r="E602" i="1"/>
  <c r="I602" i="1"/>
  <c r="E603" i="1" l="1"/>
  <c r="I603" i="1"/>
  <c r="G605" i="1"/>
  <c r="F604" i="1"/>
  <c r="G606" i="1" l="1"/>
  <c r="F605" i="1"/>
  <c r="E604" i="1"/>
  <c r="I604" i="1"/>
  <c r="E605" i="1" l="1"/>
  <c r="I605" i="1"/>
  <c r="G607" i="1"/>
  <c r="F606" i="1"/>
  <c r="G608" i="1" l="1"/>
  <c r="F607" i="1"/>
  <c r="E606" i="1"/>
  <c r="I606" i="1"/>
  <c r="E607" i="1" l="1"/>
  <c r="I607" i="1"/>
  <c r="G609" i="1"/>
  <c r="F608" i="1"/>
  <c r="G610" i="1" l="1"/>
  <c r="F609" i="1"/>
  <c r="E608" i="1"/>
  <c r="I608" i="1"/>
  <c r="E609" i="1" l="1"/>
  <c r="I609" i="1"/>
  <c r="G611" i="1"/>
  <c r="F610" i="1"/>
  <c r="G612" i="1" l="1"/>
  <c r="F611" i="1"/>
  <c r="E610" i="1"/>
  <c r="I610" i="1"/>
  <c r="E611" i="1" l="1"/>
  <c r="I611" i="1"/>
  <c r="G613" i="1"/>
  <c r="F612" i="1"/>
  <c r="E612" i="1" l="1"/>
  <c r="I612" i="1"/>
  <c r="G614" i="1"/>
  <c r="F613" i="1"/>
  <c r="E613" i="1" l="1"/>
  <c r="I613" i="1"/>
  <c r="G615" i="1"/>
  <c r="F614" i="1"/>
  <c r="E614" i="1" l="1"/>
  <c r="I614" i="1"/>
  <c r="G616" i="1"/>
  <c r="F615" i="1"/>
  <c r="G617" i="1" l="1"/>
  <c r="F616" i="1"/>
  <c r="E615" i="1"/>
  <c r="I615" i="1"/>
  <c r="E616" i="1" l="1"/>
  <c r="I616" i="1"/>
  <c r="G618" i="1"/>
  <c r="F617" i="1"/>
  <c r="E617" i="1" l="1"/>
  <c r="I617" i="1"/>
  <c r="G619" i="1"/>
  <c r="F618" i="1"/>
  <c r="E618" i="1" l="1"/>
  <c r="I618" i="1"/>
  <c r="G620" i="1"/>
  <c r="F619" i="1"/>
  <c r="E619" i="1" l="1"/>
  <c r="I619" i="1"/>
  <c r="G621" i="1"/>
  <c r="F620" i="1"/>
  <c r="G622" i="1" l="1"/>
  <c r="F621" i="1"/>
  <c r="E620" i="1"/>
  <c r="I620" i="1"/>
  <c r="E621" i="1" l="1"/>
  <c r="I621" i="1"/>
  <c r="G623" i="1"/>
  <c r="F622" i="1"/>
  <c r="E622" i="1" l="1"/>
  <c r="I622" i="1"/>
  <c r="G624" i="1"/>
  <c r="F623" i="1"/>
  <c r="E623" i="1" l="1"/>
  <c r="I623" i="1"/>
  <c r="G625" i="1"/>
  <c r="F624" i="1"/>
  <c r="G626" i="1" l="1"/>
  <c r="F625" i="1"/>
  <c r="E624" i="1"/>
  <c r="I624" i="1"/>
  <c r="E625" i="1" l="1"/>
  <c r="I625" i="1"/>
  <c r="G627" i="1"/>
  <c r="F626" i="1"/>
  <c r="G628" i="1" l="1"/>
  <c r="F627" i="1"/>
  <c r="E626" i="1"/>
  <c r="I626" i="1"/>
  <c r="E627" i="1" l="1"/>
  <c r="I627" i="1"/>
  <c r="G629" i="1"/>
  <c r="F628" i="1"/>
  <c r="E628" i="1" l="1"/>
  <c r="I628" i="1"/>
  <c r="G630" i="1"/>
  <c r="F629" i="1"/>
  <c r="G631" i="1" l="1"/>
  <c r="F630" i="1"/>
  <c r="E629" i="1"/>
  <c r="I629" i="1"/>
  <c r="E630" i="1" l="1"/>
  <c r="I630" i="1"/>
  <c r="G632" i="1"/>
  <c r="F631" i="1"/>
  <c r="E631" i="1" l="1"/>
  <c r="I631" i="1"/>
  <c r="G633" i="1"/>
  <c r="F632" i="1"/>
  <c r="E632" i="1" l="1"/>
  <c r="I632" i="1"/>
  <c r="G634" i="1"/>
  <c r="F633" i="1"/>
  <c r="E633" i="1" l="1"/>
  <c r="I633" i="1"/>
  <c r="G635" i="1"/>
  <c r="F634" i="1"/>
  <c r="E634" i="1" l="1"/>
  <c r="I634" i="1"/>
  <c r="G636" i="1"/>
  <c r="F635" i="1"/>
  <c r="E635" i="1" l="1"/>
  <c r="I635" i="1"/>
  <c r="G637" i="1"/>
  <c r="F636" i="1"/>
  <c r="E636" i="1" l="1"/>
  <c r="I636" i="1"/>
  <c r="G638" i="1"/>
  <c r="F637" i="1"/>
  <c r="E637" i="1" l="1"/>
  <c r="I637" i="1"/>
  <c r="G639" i="1"/>
  <c r="F638" i="1"/>
  <c r="E638" i="1" l="1"/>
  <c r="I638" i="1"/>
  <c r="G640" i="1"/>
  <c r="F639" i="1"/>
  <c r="E639" i="1" l="1"/>
  <c r="I639" i="1"/>
  <c r="G641" i="1"/>
  <c r="F640" i="1"/>
  <c r="E640" i="1" l="1"/>
  <c r="I640" i="1"/>
  <c r="G642" i="1"/>
  <c r="F641" i="1"/>
  <c r="E641" i="1" l="1"/>
  <c r="I641" i="1"/>
  <c r="G643" i="1"/>
  <c r="F642" i="1"/>
  <c r="G644" i="1" l="1"/>
  <c r="F643" i="1"/>
  <c r="E642" i="1"/>
  <c r="I642" i="1"/>
  <c r="G645" i="1" l="1"/>
  <c r="F644" i="1"/>
  <c r="E643" i="1"/>
  <c r="I643" i="1"/>
  <c r="E644" i="1" l="1"/>
  <c r="I644" i="1"/>
  <c r="G646" i="1"/>
  <c r="F645" i="1"/>
  <c r="E645" i="1" l="1"/>
  <c r="I645" i="1"/>
  <c r="G647" i="1"/>
  <c r="F646" i="1"/>
  <c r="E646" i="1" l="1"/>
  <c r="I646" i="1"/>
  <c r="G648" i="1"/>
  <c r="F647" i="1"/>
  <c r="E647" i="1" l="1"/>
  <c r="I647" i="1"/>
  <c r="G649" i="1"/>
  <c r="F648" i="1"/>
  <c r="G650" i="1" l="1"/>
  <c r="F649" i="1"/>
  <c r="E648" i="1"/>
  <c r="I648" i="1"/>
  <c r="E649" i="1" l="1"/>
  <c r="I649" i="1"/>
  <c r="G651" i="1"/>
  <c r="F650" i="1"/>
  <c r="G652" i="1" l="1"/>
  <c r="F651" i="1"/>
  <c r="E650" i="1"/>
  <c r="I650" i="1"/>
  <c r="E651" i="1" l="1"/>
  <c r="I651" i="1"/>
  <c r="G653" i="1"/>
  <c r="F652" i="1"/>
  <c r="G654" i="1" l="1"/>
  <c r="F653" i="1"/>
  <c r="E652" i="1"/>
  <c r="I652" i="1"/>
  <c r="E653" i="1" l="1"/>
  <c r="I653" i="1"/>
  <c r="G655" i="1"/>
  <c r="F654" i="1"/>
  <c r="E654" i="1" l="1"/>
  <c r="I654" i="1"/>
  <c r="G656" i="1"/>
  <c r="F655" i="1"/>
  <c r="G657" i="1" l="1"/>
  <c r="F656" i="1"/>
  <c r="E655" i="1"/>
  <c r="I655" i="1"/>
  <c r="E656" i="1" l="1"/>
  <c r="I656" i="1"/>
  <c r="G658" i="1"/>
  <c r="F657" i="1"/>
  <c r="E657" i="1" l="1"/>
  <c r="I657" i="1"/>
  <c r="G659" i="1"/>
  <c r="F658" i="1"/>
  <c r="E658" i="1" l="1"/>
  <c r="I658" i="1"/>
  <c r="G660" i="1"/>
  <c r="F659" i="1"/>
  <c r="E659" i="1" l="1"/>
  <c r="I659" i="1"/>
  <c r="G661" i="1"/>
  <c r="F660" i="1"/>
  <c r="G662" i="1" l="1"/>
  <c r="F661" i="1"/>
  <c r="E660" i="1"/>
  <c r="I660" i="1"/>
  <c r="E661" i="1" l="1"/>
  <c r="I661" i="1"/>
  <c r="G663" i="1"/>
  <c r="F662" i="1"/>
  <c r="G664" i="1" l="1"/>
  <c r="F663" i="1"/>
  <c r="E662" i="1"/>
  <c r="I662" i="1"/>
  <c r="E663" i="1" l="1"/>
  <c r="I663" i="1"/>
  <c r="G665" i="1"/>
  <c r="F664" i="1"/>
  <c r="E664" i="1" l="1"/>
  <c r="I664" i="1"/>
  <c r="G666" i="1"/>
  <c r="F665" i="1"/>
  <c r="G667" i="1" l="1"/>
  <c r="F666" i="1"/>
  <c r="E665" i="1"/>
  <c r="I665" i="1"/>
  <c r="E666" i="1" l="1"/>
  <c r="I666" i="1"/>
  <c r="G668" i="1"/>
  <c r="F667" i="1"/>
  <c r="G669" i="1" l="1"/>
  <c r="F668" i="1"/>
  <c r="E667" i="1"/>
  <c r="I667" i="1"/>
  <c r="E668" i="1" l="1"/>
  <c r="I668" i="1"/>
  <c r="G670" i="1"/>
  <c r="F669" i="1"/>
  <c r="G671" i="1" l="1"/>
  <c r="F670" i="1"/>
  <c r="E669" i="1"/>
  <c r="I669" i="1"/>
  <c r="E670" i="1" l="1"/>
  <c r="I670" i="1"/>
  <c r="G672" i="1"/>
  <c r="F671" i="1"/>
  <c r="G673" i="1" l="1"/>
  <c r="F672" i="1"/>
  <c r="E671" i="1"/>
  <c r="I671" i="1"/>
  <c r="E672" i="1" l="1"/>
  <c r="I672" i="1"/>
  <c r="G674" i="1"/>
  <c r="F673" i="1"/>
  <c r="G675" i="1" l="1"/>
  <c r="F674" i="1"/>
  <c r="E673" i="1"/>
  <c r="I673" i="1"/>
  <c r="E674" i="1" l="1"/>
  <c r="I674" i="1"/>
  <c r="G676" i="1"/>
  <c r="F675" i="1"/>
  <c r="G677" i="1" l="1"/>
  <c r="F676" i="1"/>
  <c r="E675" i="1"/>
  <c r="I675" i="1"/>
  <c r="E676" i="1" l="1"/>
  <c r="I676" i="1"/>
  <c r="G678" i="1"/>
  <c r="F677" i="1"/>
  <c r="G679" i="1" l="1"/>
  <c r="F678" i="1"/>
  <c r="E677" i="1"/>
  <c r="I677" i="1"/>
  <c r="E678" i="1" l="1"/>
  <c r="I678" i="1"/>
  <c r="G680" i="1"/>
  <c r="F679" i="1"/>
  <c r="E679" i="1" l="1"/>
  <c r="I679" i="1"/>
  <c r="G681" i="1"/>
  <c r="F680" i="1"/>
  <c r="G682" i="1" l="1"/>
  <c r="F681" i="1"/>
  <c r="E680" i="1"/>
  <c r="I680" i="1"/>
  <c r="E681" i="1" l="1"/>
  <c r="I681" i="1"/>
  <c r="G683" i="1"/>
  <c r="F682" i="1"/>
  <c r="G684" i="1" l="1"/>
  <c r="F683" i="1"/>
  <c r="E682" i="1"/>
  <c r="I682" i="1"/>
  <c r="E683" i="1" l="1"/>
  <c r="I683" i="1"/>
  <c r="G685" i="1"/>
  <c r="F684" i="1"/>
  <c r="E684" i="1" l="1"/>
  <c r="I684" i="1"/>
  <c r="G686" i="1"/>
  <c r="F685" i="1"/>
  <c r="E685" i="1" l="1"/>
  <c r="I685" i="1"/>
  <c r="G687" i="1"/>
  <c r="F686" i="1"/>
  <c r="E686" i="1" l="1"/>
  <c r="I686" i="1"/>
  <c r="G688" i="1"/>
  <c r="F687" i="1"/>
  <c r="E687" i="1" l="1"/>
  <c r="I687" i="1"/>
  <c r="G689" i="1"/>
  <c r="F688" i="1"/>
  <c r="E688" i="1" l="1"/>
  <c r="I688" i="1"/>
  <c r="G690" i="1"/>
  <c r="F689" i="1"/>
  <c r="G691" i="1" l="1"/>
  <c r="F690" i="1"/>
  <c r="E689" i="1"/>
  <c r="I689" i="1"/>
  <c r="E690" i="1" l="1"/>
  <c r="I690" i="1"/>
  <c r="G692" i="1"/>
  <c r="F691" i="1"/>
  <c r="E691" i="1" l="1"/>
  <c r="I691" i="1"/>
  <c r="G693" i="1"/>
  <c r="F692" i="1"/>
  <c r="E692" i="1" l="1"/>
  <c r="I692" i="1"/>
  <c r="G694" i="1"/>
  <c r="F693" i="1"/>
  <c r="G695" i="1" l="1"/>
  <c r="F694" i="1"/>
  <c r="E693" i="1"/>
  <c r="I693" i="1"/>
  <c r="E694" i="1" l="1"/>
  <c r="I694" i="1"/>
  <c r="G696" i="1"/>
  <c r="F695" i="1"/>
  <c r="G697" i="1" l="1"/>
  <c r="F696" i="1"/>
  <c r="E695" i="1"/>
  <c r="I695" i="1"/>
  <c r="E696" i="1" l="1"/>
  <c r="I696" i="1"/>
  <c r="G698" i="1"/>
  <c r="F697" i="1"/>
  <c r="E697" i="1" l="1"/>
  <c r="I697" i="1"/>
  <c r="G699" i="1"/>
  <c r="F698" i="1"/>
  <c r="G700" i="1" l="1"/>
  <c r="F699" i="1"/>
  <c r="E698" i="1"/>
  <c r="I698" i="1"/>
  <c r="E699" i="1" l="1"/>
  <c r="I699" i="1"/>
  <c r="G701" i="1"/>
  <c r="F700" i="1"/>
  <c r="E700" i="1" l="1"/>
  <c r="I700" i="1"/>
  <c r="G702" i="1"/>
  <c r="F701" i="1"/>
  <c r="E701" i="1" l="1"/>
  <c r="I701" i="1"/>
  <c r="G703" i="1"/>
  <c r="F702" i="1"/>
  <c r="G704" i="1" l="1"/>
  <c r="F703" i="1"/>
  <c r="E702" i="1"/>
  <c r="I702" i="1"/>
  <c r="E703" i="1" l="1"/>
  <c r="I703" i="1"/>
  <c r="G705" i="1"/>
  <c r="F704" i="1"/>
  <c r="G706" i="1" l="1"/>
  <c r="F705" i="1"/>
  <c r="E704" i="1"/>
  <c r="I704" i="1"/>
  <c r="E705" i="1" l="1"/>
  <c r="I705" i="1"/>
  <c r="G707" i="1"/>
  <c r="F706" i="1"/>
  <c r="E706" i="1" l="1"/>
  <c r="I706" i="1"/>
  <c r="G708" i="1"/>
  <c r="F707" i="1"/>
  <c r="G709" i="1" l="1"/>
  <c r="F708" i="1"/>
  <c r="E707" i="1"/>
  <c r="I707" i="1"/>
  <c r="E708" i="1" l="1"/>
  <c r="I708" i="1"/>
  <c r="G710" i="1"/>
  <c r="F709" i="1"/>
  <c r="E709" i="1" l="1"/>
  <c r="I709" i="1"/>
  <c r="G711" i="1"/>
  <c r="F710" i="1"/>
  <c r="E710" i="1" l="1"/>
  <c r="I710" i="1"/>
  <c r="G712" i="1"/>
  <c r="F711" i="1"/>
  <c r="G713" i="1" l="1"/>
  <c r="F712" i="1"/>
  <c r="E711" i="1"/>
  <c r="I711" i="1"/>
  <c r="E712" i="1" l="1"/>
  <c r="I712" i="1"/>
  <c r="G714" i="1"/>
  <c r="F713" i="1"/>
  <c r="E713" i="1" l="1"/>
  <c r="I713" i="1"/>
  <c r="G715" i="1"/>
  <c r="F714" i="1"/>
  <c r="G716" i="1" l="1"/>
  <c r="F715" i="1"/>
  <c r="E714" i="1"/>
  <c r="I714" i="1"/>
  <c r="E715" i="1" l="1"/>
  <c r="I715" i="1"/>
  <c r="G717" i="1"/>
  <c r="F716" i="1"/>
  <c r="G718" i="1" l="1"/>
  <c r="F717" i="1"/>
  <c r="E716" i="1"/>
  <c r="I716" i="1"/>
  <c r="E717" i="1" l="1"/>
  <c r="I717" i="1"/>
  <c r="G719" i="1"/>
  <c r="F718" i="1"/>
  <c r="E718" i="1" l="1"/>
  <c r="I718" i="1"/>
  <c r="G720" i="1"/>
  <c r="F719" i="1"/>
  <c r="E719" i="1" l="1"/>
  <c r="I719" i="1"/>
  <c r="G721" i="1"/>
  <c r="F720" i="1"/>
  <c r="E720" i="1" l="1"/>
  <c r="I720" i="1"/>
  <c r="G722" i="1"/>
  <c r="F721" i="1"/>
  <c r="G723" i="1" l="1"/>
  <c r="F722" i="1"/>
  <c r="E721" i="1"/>
  <c r="I721" i="1"/>
  <c r="E722" i="1" l="1"/>
  <c r="I722" i="1"/>
  <c r="G724" i="1"/>
  <c r="F723" i="1"/>
  <c r="E723" i="1" l="1"/>
  <c r="I723" i="1"/>
  <c r="G725" i="1"/>
  <c r="F724" i="1"/>
  <c r="E724" i="1" l="1"/>
  <c r="I724" i="1"/>
  <c r="G726" i="1"/>
  <c r="F725" i="1"/>
  <c r="E725" i="1" l="1"/>
  <c r="I725" i="1"/>
  <c r="G727" i="1"/>
  <c r="F726" i="1"/>
  <c r="E726" i="1" l="1"/>
  <c r="I726" i="1"/>
  <c r="G728" i="1"/>
  <c r="F727" i="1"/>
  <c r="G729" i="1" l="1"/>
  <c r="F728" i="1"/>
  <c r="E727" i="1"/>
  <c r="I727" i="1"/>
  <c r="E728" i="1" l="1"/>
  <c r="I728" i="1"/>
  <c r="G730" i="1"/>
  <c r="F729" i="1"/>
  <c r="G731" i="1" l="1"/>
  <c r="F730" i="1"/>
  <c r="E729" i="1"/>
  <c r="I729" i="1"/>
  <c r="E730" i="1" l="1"/>
  <c r="I730" i="1"/>
  <c r="G732" i="1"/>
  <c r="F731" i="1"/>
  <c r="E731" i="1" l="1"/>
  <c r="I731" i="1"/>
  <c r="G733" i="1"/>
  <c r="F732" i="1"/>
  <c r="G734" i="1" l="1"/>
  <c r="F733" i="1"/>
  <c r="E732" i="1"/>
  <c r="I732" i="1"/>
  <c r="E733" i="1" l="1"/>
  <c r="I733" i="1"/>
  <c r="G735" i="1"/>
  <c r="F734" i="1"/>
  <c r="E734" i="1" l="1"/>
  <c r="I734" i="1"/>
  <c r="G736" i="1"/>
  <c r="F735" i="1"/>
  <c r="G737" i="1" l="1"/>
  <c r="F736" i="1"/>
  <c r="E735" i="1"/>
  <c r="I735" i="1"/>
  <c r="E736" i="1" l="1"/>
  <c r="I736" i="1"/>
  <c r="G738" i="1"/>
  <c r="F737" i="1"/>
  <c r="E737" i="1" l="1"/>
  <c r="I737" i="1"/>
  <c r="G739" i="1"/>
  <c r="F738" i="1"/>
  <c r="E738" i="1" l="1"/>
  <c r="I738" i="1"/>
  <c r="G740" i="1"/>
  <c r="F739" i="1"/>
  <c r="E739" i="1" l="1"/>
  <c r="I739" i="1"/>
  <c r="G741" i="1"/>
  <c r="F740" i="1"/>
  <c r="E740" i="1" l="1"/>
  <c r="I740" i="1"/>
  <c r="G742" i="1"/>
  <c r="F741" i="1"/>
  <c r="E741" i="1" l="1"/>
  <c r="I741" i="1"/>
  <c r="G743" i="1"/>
  <c r="F742" i="1"/>
  <c r="E742" i="1" l="1"/>
  <c r="I742" i="1"/>
  <c r="G744" i="1"/>
  <c r="F743" i="1"/>
  <c r="E743" i="1" l="1"/>
  <c r="I743" i="1"/>
  <c r="G745" i="1"/>
  <c r="F744" i="1"/>
  <c r="E744" i="1" l="1"/>
  <c r="I744" i="1"/>
  <c r="G746" i="1"/>
  <c r="F745" i="1"/>
  <c r="E745" i="1" l="1"/>
  <c r="I745" i="1"/>
  <c r="G747" i="1"/>
  <c r="F746" i="1"/>
  <c r="E746" i="1" l="1"/>
  <c r="I746" i="1"/>
  <c r="G748" i="1"/>
  <c r="F747" i="1"/>
  <c r="E747" i="1" l="1"/>
  <c r="I747" i="1"/>
  <c r="G749" i="1"/>
  <c r="F748" i="1"/>
  <c r="G750" i="1" l="1"/>
  <c r="F749" i="1"/>
  <c r="E748" i="1"/>
  <c r="I748" i="1"/>
  <c r="E749" i="1" l="1"/>
  <c r="I749" i="1"/>
  <c r="G751" i="1"/>
  <c r="F750" i="1"/>
  <c r="E750" i="1" l="1"/>
  <c r="I750" i="1"/>
  <c r="G752" i="1"/>
  <c r="F751" i="1"/>
  <c r="E751" i="1" l="1"/>
  <c r="I751" i="1"/>
  <c r="G753" i="1"/>
  <c r="F752" i="1"/>
  <c r="G754" i="1" l="1"/>
  <c r="F753" i="1"/>
  <c r="E752" i="1"/>
  <c r="I752" i="1"/>
  <c r="E753" i="1" l="1"/>
  <c r="I753" i="1"/>
  <c r="G755" i="1"/>
  <c r="F754" i="1"/>
  <c r="E754" i="1" l="1"/>
  <c r="I754" i="1"/>
  <c r="G756" i="1"/>
  <c r="F755" i="1"/>
  <c r="G757" i="1" l="1"/>
  <c r="F756" i="1"/>
  <c r="E755" i="1"/>
  <c r="I755" i="1"/>
  <c r="E756" i="1" l="1"/>
  <c r="I756" i="1"/>
  <c r="G758" i="1"/>
  <c r="F757" i="1"/>
  <c r="E757" i="1" l="1"/>
  <c r="I757" i="1"/>
  <c r="G759" i="1"/>
  <c r="F758" i="1"/>
  <c r="E758" i="1" l="1"/>
  <c r="I758" i="1"/>
  <c r="G760" i="1"/>
  <c r="F759" i="1"/>
  <c r="G761" i="1" l="1"/>
  <c r="F760" i="1"/>
  <c r="E759" i="1"/>
  <c r="I759" i="1"/>
  <c r="E760" i="1" l="1"/>
  <c r="I760" i="1"/>
  <c r="G762" i="1"/>
  <c r="F761" i="1"/>
  <c r="G763" i="1" l="1"/>
  <c r="F762" i="1"/>
  <c r="E761" i="1"/>
  <c r="I761" i="1"/>
  <c r="E762" i="1" l="1"/>
  <c r="I762" i="1"/>
  <c r="G764" i="1"/>
  <c r="F763" i="1"/>
  <c r="E763" i="1" l="1"/>
  <c r="I763" i="1"/>
  <c r="G765" i="1"/>
  <c r="F764" i="1"/>
  <c r="E764" i="1" l="1"/>
  <c r="I764" i="1"/>
  <c r="G766" i="1"/>
  <c r="F765" i="1"/>
  <c r="E765" i="1" l="1"/>
  <c r="I765" i="1"/>
  <c r="G767" i="1"/>
  <c r="F766" i="1"/>
  <c r="E766" i="1" l="1"/>
  <c r="I766" i="1"/>
  <c r="G768" i="1"/>
  <c r="F767" i="1"/>
  <c r="E767" i="1" l="1"/>
  <c r="I767" i="1"/>
  <c r="G769" i="1"/>
  <c r="F768" i="1"/>
  <c r="E768" i="1" l="1"/>
  <c r="I768" i="1"/>
  <c r="G770" i="1"/>
  <c r="F769" i="1"/>
  <c r="E769" i="1" l="1"/>
  <c r="I769" i="1"/>
  <c r="G771" i="1"/>
  <c r="F770" i="1"/>
  <c r="E770" i="1" l="1"/>
  <c r="I770" i="1"/>
  <c r="G772" i="1"/>
  <c r="F771" i="1"/>
  <c r="E771" i="1" l="1"/>
  <c r="I771" i="1"/>
  <c r="G773" i="1"/>
  <c r="F772" i="1"/>
  <c r="E772" i="1" l="1"/>
  <c r="I772" i="1"/>
  <c r="G774" i="1"/>
  <c r="F773" i="1"/>
  <c r="E773" i="1" l="1"/>
  <c r="I773" i="1"/>
  <c r="G775" i="1"/>
  <c r="F774" i="1"/>
  <c r="E774" i="1" l="1"/>
  <c r="I774" i="1"/>
  <c r="G776" i="1"/>
  <c r="F775" i="1"/>
  <c r="G777" i="1" l="1"/>
  <c r="F776" i="1"/>
  <c r="E775" i="1"/>
  <c r="I775" i="1"/>
  <c r="E776" i="1" l="1"/>
  <c r="I776" i="1"/>
  <c r="G778" i="1"/>
  <c r="F777" i="1"/>
  <c r="E777" i="1" l="1"/>
  <c r="I777" i="1"/>
  <c r="G779" i="1"/>
  <c r="F778" i="1"/>
  <c r="E778" i="1" l="1"/>
  <c r="I778" i="1"/>
  <c r="G780" i="1"/>
  <c r="F779" i="1"/>
  <c r="G781" i="1" l="1"/>
  <c r="F780" i="1"/>
  <c r="E779" i="1"/>
  <c r="I779" i="1"/>
  <c r="E780" i="1" l="1"/>
  <c r="I780" i="1"/>
  <c r="G782" i="1"/>
  <c r="F781" i="1"/>
  <c r="G783" i="1" l="1"/>
  <c r="F782" i="1"/>
  <c r="E781" i="1"/>
  <c r="I781" i="1"/>
  <c r="E782" i="1" l="1"/>
  <c r="I782" i="1"/>
  <c r="G784" i="1"/>
  <c r="F783" i="1"/>
  <c r="E783" i="1" l="1"/>
  <c r="I783" i="1"/>
  <c r="G785" i="1"/>
  <c r="F784" i="1"/>
  <c r="G786" i="1" l="1"/>
  <c r="F785" i="1"/>
  <c r="E784" i="1"/>
  <c r="I784" i="1"/>
  <c r="E785" i="1" l="1"/>
  <c r="I785" i="1"/>
  <c r="G787" i="1"/>
  <c r="F786" i="1"/>
  <c r="G788" i="1" l="1"/>
  <c r="F787" i="1"/>
  <c r="E786" i="1"/>
  <c r="I786" i="1"/>
  <c r="E787" i="1" l="1"/>
  <c r="I787" i="1"/>
  <c r="G789" i="1"/>
  <c r="F788" i="1"/>
  <c r="G790" i="1" l="1"/>
  <c r="F789" i="1"/>
  <c r="E788" i="1"/>
  <c r="I788" i="1"/>
  <c r="E789" i="1" l="1"/>
  <c r="I789" i="1"/>
  <c r="G791" i="1"/>
  <c r="F790" i="1"/>
  <c r="G792" i="1" l="1"/>
  <c r="F791" i="1"/>
  <c r="E790" i="1"/>
  <c r="I790" i="1"/>
  <c r="E791" i="1" l="1"/>
  <c r="I791" i="1"/>
  <c r="G793" i="1"/>
  <c r="F792" i="1"/>
  <c r="E792" i="1" l="1"/>
  <c r="I792" i="1"/>
  <c r="G794" i="1"/>
  <c r="F793" i="1"/>
  <c r="E793" i="1" l="1"/>
  <c r="I793" i="1"/>
  <c r="G795" i="1"/>
  <c r="F794" i="1"/>
  <c r="G796" i="1" l="1"/>
  <c r="F795" i="1"/>
  <c r="E794" i="1"/>
  <c r="I794" i="1"/>
  <c r="E795" i="1" l="1"/>
  <c r="I795" i="1"/>
  <c r="G797" i="1"/>
  <c r="F796" i="1"/>
  <c r="E796" i="1" l="1"/>
  <c r="I796" i="1"/>
  <c r="G798" i="1"/>
  <c r="F797" i="1"/>
  <c r="G799" i="1" l="1"/>
  <c r="F798" i="1"/>
  <c r="E797" i="1"/>
  <c r="I797" i="1"/>
  <c r="E798" i="1" l="1"/>
  <c r="I798" i="1"/>
  <c r="G800" i="1"/>
  <c r="F799" i="1"/>
  <c r="E799" i="1" l="1"/>
  <c r="I799" i="1"/>
  <c r="G801" i="1"/>
  <c r="F800" i="1"/>
  <c r="G802" i="1" l="1"/>
  <c r="F801" i="1"/>
  <c r="E800" i="1"/>
  <c r="I800" i="1"/>
  <c r="E801" i="1" l="1"/>
  <c r="I801" i="1"/>
  <c r="G803" i="1"/>
  <c r="F802" i="1"/>
  <c r="G804" i="1" l="1"/>
  <c r="F803" i="1"/>
  <c r="E802" i="1"/>
  <c r="I802" i="1"/>
  <c r="E803" i="1" l="1"/>
  <c r="I803" i="1"/>
  <c r="G805" i="1"/>
  <c r="F804" i="1"/>
  <c r="E804" i="1" l="1"/>
  <c r="I804" i="1"/>
  <c r="G806" i="1"/>
  <c r="F805" i="1"/>
  <c r="G807" i="1" l="1"/>
  <c r="F806" i="1"/>
  <c r="E805" i="1"/>
  <c r="I805" i="1"/>
  <c r="E806" i="1" l="1"/>
  <c r="I806" i="1"/>
  <c r="G808" i="1"/>
  <c r="F807" i="1"/>
  <c r="E807" i="1" l="1"/>
  <c r="I807" i="1"/>
  <c r="G809" i="1"/>
  <c r="F808" i="1"/>
  <c r="G810" i="1" l="1"/>
  <c r="F809" i="1"/>
  <c r="E808" i="1"/>
  <c r="I808" i="1"/>
  <c r="E809" i="1" l="1"/>
  <c r="I809" i="1"/>
  <c r="G811" i="1"/>
  <c r="F810" i="1"/>
  <c r="E810" i="1" l="1"/>
  <c r="I810" i="1"/>
  <c r="G812" i="1"/>
  <c r="F811" i="1"/>
  <c r="G813" i="1" l="1"/>
  <c r="F812" i="1"/>
  <c r="E811" i="1"/>
  <c r="I811" i="1"/>
  <c r="E812" i="1" l="1"/>
  <c r="I812" i="1"/>
  <c r="G814" i="1"/>
  <c r="F813" i="1"/>
  <c r="E813" i="1" l="1"/>
  <c r="I813" i="1"/>
  <c r="G815" i="1"/>
  <c r="F814" i="1"/>
  <c r="E814" i="1" l="1"/>
  <c r="I814" i="1"/>
  <c r="G816" i="1"/>
  <c r="F815" i="1"/>
  <c r="E815" i="1" l="1"/>
  <c r="I815" i="1"/>
  <c r="G817" i="1"/>
  <c r="F816" i="1"/>
  <c r="E816" i="1" l="1"/>
  <c r="I816" i="1"/>
  <c r="G818" i="1"/>
  <c r="F817" i="1"/>
  <c r="E817" i="1" l="1"/>
  <c r="I817" i="1"/>
  <c r="G819" i="1"/>
  <c r="F818" i="1"/>
  <c r="E818" i="1" l="1"/>
  <c r="I818" i="1"/>
  <c r="G820" i="1"/>
  <c r="F819" i="1"/>
  <c r="E819" i="1" l="1"/>
  <c r="I819" i="1"/>
  <c r="G821" i="1"/>
  <c r="F820" i="1"/>
  <c r="E820" i="1" l="1"/>
  <c r="I820" i="1"/>
  <c r="G822" i="1"/>
  <c r="F821" i="1"/>
  <c r="E821" i="1" l="1"/>
  <c r="I821" i="1"/>
  <c r="G823" i="1"/>
  <c r="F822" i="1"/>
  <c r="E822" i="1" l="1"/>
  <c r="I822" i="1"/>
  <c r="G824" i="1"/>
  <c r="F823" i="1"/>
  <c r="G825" i="1" l="1"/>
  <c r="F824" i="1"/>
  <c r="E823" i="1"/>
  <c r="I823" i="1"/>
  <c r="G826" i="1" l="1"/>
  <c r="F825" i="1"/>
  <c r="E824" i="1"/>
  <c r="I824" i="1"/>
  <c r="G827" i="1" l="1"/>
  <c r="F826" i="1"/>
  <c r="E825" i="1"/>
  <c r="I825" i="1"/>
  <c r="G828" i="1" l="1"/>
  <c r="F827" i="1"/>
  <c r="E826" i="1"/>
  <c r="I826" i="1"/>
  <c r="E827" i="1" l="1"/>
  <c r="I827" i="1"/>
  <c r="G829" i="1"/>
  <c r="F828" i="1"/>
  <c r="E828" i="1" l="1"/>
  <c r="I828" i="1"/>
  <c r="G830" i="1"/>
  <c r="F829" i="1"/>
  <c r="G831" i="1" l="1"/>
  <c r="F830" i="1"/>
  <c r="E829" i="1"/>
  <c r="I829" i="1"/>
  <c r="G832" i="1" l="1"/>
  <c r="F831" i="1"/>
  <c r="E830" i="1"/>
  <c r="I830" i="1"/>
  <c r="E831" i="1" l="1"/>
  <c r="I831" i="1"/>
  <c r="G833" i="1"/>
  <c r="F832" i="1"/>
  <c r="G834" i="1" l="1"/>
  <c r="F833" i="1"/>
  <c r="E832" i="1"/>
  <c r="I832" i="1"/>
  <c r="G835" i="1" l="1"/>
  <c r="F834" i="1"/>
  <c r="E833" i="1"/>
  <c r="I833" i="1"/>
  <c r="E834" i="1" l="1"/>
  <c r="I834" i="1"/>
  <c r="G836" i="1"/>
  <c r="F835" i="1"/>
  <c r="G837" i="1" l="1"/>
  <c r="F836" i="1"/>
  <c r="E835" i="1"/>
  <c r="I835" i="1"/>
  <c r="G838" i="1" l="1"/>
  <c r="F837" i="1"/>
  <c r="E836" i="1"/>
  <c r="I836" i="1"/>
  <c r="G839" i="1" l="1"/>
  <c r="F838" i="1"/>
  <c r="E837" i="1"/>
  <c r="I837" i="1"/>
  <c r="G840" i="1" l="1"/>
  <c r="F839" i="1"/>
  <c r="E838" i="1"/>
  <c r="I838" i="1"/>
  <c r="G841" i="1" l="1"/>
  <c r="F840" i="1"/>
  <c r="E839" i="1"/>
  <c r="I839" i="1"/>
  <c r="G842" i="1" l="1"/>
  <c r="F841" i="1"/>
  <c r="E840" i="1"/>
  <c r="I840" i="1"/>
  <c r="E841" i="1" l="1"/>
  <c r="I841" i="1"/>
  <c r="G843" i="1"/>
  <c r="F842" i="1"/>
  <c r="E842" i="1" l="1"/>
  <c r="I842" i="1"/>
  <c r="G844" i="1"/>
  <c r="F843" i="1"/>
  <c r="E843" i="1" l="1"/>
  <c r="I843" i="1"/>
  <c r="G845" i="1"/>
  <c r="F844" i="1"/>
  <c r="E844" i="1" l="1"/>
  <c r="I844" i="1"/>
  <c r="G846" i="1"/>
  <c r="F845" i="1"/>
  <c r="G847" i="1" l="1"/>
  <c r="F846" i="1"/>
  <c r="E845" i="1"/>
  <c r="I845" i="1"/>
  <c r="G848" i="1" l="1"/>
  <c r="F847" i="1"/>
  <c r="E846" i="1"/>
  <c r="I846" i="1"/>
  <c r="G849" i="1" l="1"/>
  <c r="F848" i="1"/>
  <c r="E847" i="1"/>
  <c r="I847" i="1"/>
  <c r="E848" i="1" l="1"/>
  <c r="I848" i="1"/>
  <c r="G850" i="1"/>
  <c r="F849" i="1"/>
  <c r="E849" i="1" l="1"/>
  <c r="I849" i="1"/>
  <c r="G851" i="1"/>
  <c r="F850" i="1"/>
  <c r="E850" i="1" l="1"/>
  <c r="I850" i="1"/>
  <c r="G852" i="1"/>
  <c r="F851" i="1"/>
  <c r="G853" i="1" l="1"/>
  <c r="F852" i="1"/>
  <c r="E851" i="1"/>
  <c r="I851" i="1"/>
  <c r="E852" i="1" l="1"/>
  <c r="I852" i="1"/>
  <c r="G854" i="1"/>
  <c r="F853" i="1"/>
  <c r="G855" i="1" l="1"/>
  <c r="F854" i="1"/>
  <c r="E853" i="1"/>
  <c r="I853" i="1"/>
  <c r="E854" i="1" l="1"/>
  <c r="I854" i="1"/>
  <c r="G856" i="1"/>
  <c r="F855" i="1"/>
  <c r="E855" i="1" l="1"/>
  <c r="I855" i="1"/>
  <c r="G857" i="1"/>
  <c r="F856" i="1"/>
  <c r="G858" i="1" l="1"/>
  <c r="F857" i="1"/>
  <c r="E856" i="1"/>
  <c r="I856" i="1"/>
  <c r="G859" i="1" l="1"/>
  <c r="F858" i="1"/>
  <c r="E857" i="1"/>
  <c r="I857" i="1"/>
  <c r="E858" i="1" l="1"/>
  <c r="I858" i="1"/>
  <c r="G860" i="1"/>
  <c r="F859" i="1"/>
  <c r="E859" i="1" l="1"/>
  <c r="I859" i="1"/>
  <c r="G861" i="1"/>
  <c r="F860" i="1"/>
  <c r="G862" i="1" l="1"/>
  <c r="F861" i="1"/>
  <c r="E860" i="1"/>
  <c r="I860" i="1"/>
  <c r="E861" i="1" l="1"/>
  <c r="I861" i="1"/>
  <c r="G863" i="1"/>
  <c r="F862" i="1"/>
  <c r="G864" i="1" l="1"/>
  <c r="F863" i="1"/>
  <c r="E862" i="1"/>
  <c r="I862" i="1"/>
  <c r="E863" i="1" l="1"/>
  <c r="I863" i="1"/>
  <c r="G865" i="1"/>
  <c r="F864" i="1"/>
  <c r="G866" i="1" l="1"/>
  <c r="F865" i="1"/>
  <c r="E864" i="1"/>
  <c r="I864" i="1"/>
  <c r="G867" i="1" l="1"/>
  <c r="F866" i="1"/>
  <c r="E865" i="1"/>
  <c r="I865" i="1"/>
  <c r="E866" i="1" l="1"/>
  <c r="I866" i="1"/>
  <c r="G868" i="1"/>
  <c r="F867" i="1"/>
  <c r="G869" i="1" l="1"/>
  <c r="F868" i="1"/>
  <c r="E867" i="1"/>
  <c r="I867" i="1"/>
  <c r="E868" i="1" l="1"/>
  <c r="I868" i="1"/>
  <c r="G870" i="1"/>
  <c r="F869" i="1"/>
  <c r="E869" i="1" l="1"/>
  <c r="I869" i="1"/>
  <c r="G871" i="1"/>
  <c r="F870" i="1"/>
  <c r="E870" i="1" l="1"/>
  <c r="I870" i="1"/>
  <c r="G872" i="1"/>
  <c r="F871" i="1"/>
  <c r="G873" i="1" l="1"/>
  <c r="F872" i="1"/>
  <c r="E871" i="1"/>
  <c r="I871" i="1"/>
  <c r="G874" i="1" l="1"/>
  <c r="F873" i="1"/>
  <c r="E872" i="1"/>
  <c r="I872" i="1"/>
  <c r="E873" i="1" l="1"/>
  <c r="I873" i="1"/>
  <c r="G875" i="1"/>
  <c r="F874" i="1"/>
  <c r="G876" i="1" l="1"/>
  <c r="F875" i="1"/>
  <c r="E874" i="1"/>
  <c r="I874" i="1"/>
  <c r="E875" i="1" l="1"/>
  <c r="I875" i="1"/>
  <c r="G877" i="1"/>
  <c r="F876" i="1"/>
  <c r="G878" i="1" l="1"/>
  <c r="F877" i="1"/>
  <c r="E876" i="1"/>
  <c r="I876" i="1"/>
  <c r="E877" i="1" l="1"/>
  <c r="I877" i="1"/>
  <c r="G879" i="1"/>
  <c r="F878" i="1"/>
  <c r="E878" i="1" l="1"/>
  <c r="I878" i="1"/>
  <c r="G880" i="1"/>
  <c r="F879" i="1"/>
  <c r="E879" i="1" l="1"/>
  <c r="I879" i="1"/>
  <c r="G881" i="1"/>
  <c r="F880" i="1"/>
  <c r="E880" i="1" l="1"/>
  <c r="I880" i="1"/>
  <c r="G882" i="1"/>
  <c r="F881" i="1"/>
  <c r="E881" i="1" l="1"/>
  <c r="I881" i="1"/>
  <c r="G883" i="1"/>
  <c r="F882" i="1"/>
  <c r="G884" i="1" l="1"/>
  <c r="F883" i="1"/>
  <c r="E882" i="1"/>
  <c r="I882" i="1"/>
  <c r="E883" i="1" l="1"/>
  <c r="I883" i="1"/>
  <c r="G885" i="1"/>
  <c r="F884" i="1"/>
  <c r="G886" i="1" l="1"/>
  <c r="F885" i="1"/>
  <c r="E884" i="1"/>
  <c r="I884" i="1"/>
  <c r="E885" i="1" l="1"/>
  <c r="I885" i="1"/>
  <c r="G887" i="1"/>
  <c r="F886" i="1"/>
  <c r="E886" i="1" l="1"/>
  <c r="I886" i="1"/>
  <c r="G888" i="1"/>
  <c r="F887" i="1"/>
  <c r="E887" i="1" l="1"/>
  <c r="I887" i="1"/>
  <c r="G889" i="1"/>
  <c r="F888" i="1"/>
  <c r="E888" i="1" l="1"/>
  <c r="I888" i="1"/>
  <c r="G890" i="1"/>
  <c r="F889" i="1"/>
  <c r="E889" i="1" l="1"/>
  <c r="I889" i="1"/>
  <c r="G891" i="1"/>
  <c r="F890" i="1"/>
  <c r="E890" i="1" l="1"/>
  <c r="I890" i="1"/>
  <c r="G892" i="1"/>
  <c r="F891" i="1"/>
  <c r="E891" i="1" l="1"/>
  <c r="I891" i="1"/>
  <c r="G893" i="1"/>
  <c r="F892" i="1"/>
  <c r="E892" i="1" l="1"/>
  <c r="I892" i="1"/>
  <c r="G894" i="1"/>
  <c r="F893" i="1"/>
  <c r="E893" i="1" l="1"/>
  <c r="I893" i="1"/>
  <c r="G895" i="1"/>
  <c r="F894" i="1"/>
  <c r="G896" i="1" l="1"/>
  <c r="F895" i="1"/>
  <c r="E894" i="1"/>
  <c r="I894" i="1"/>
  <c r="E895" i="1" l="1"/>
  <c r="I895" i="1"/>
  <c r="G897" i="1"/>
  <c r="F896" i="1"/>
  <c r="E896" i="1" l="1"/>
  <c r="I896" i="1"/>
  <c r="G898" i="1"/>
  <c r="F897" i="1"/>
  <c r="G899" i="1" l="1"/>
  <c r="F898" i="1"/>
  <c r="E897" i="1"/>
  <c r="I897" i="1"/>
  <c r="E898" i="1" l="1"/>
  <c r="I898" i="1"/>
  <c r="G900" i="1"/>
  <c r="F899" i="1"/>
  <c r="E899" i="1" l="1"/>
  <c r="I899" i="1"/>
  <c r="G901" i="1"/>
  <c r="F900" i="1"/>
  <c r="E900" i="1" l="1"/>
  <c r="I900" i="1"/>
  <c r="G902" i="1"/>
  <c r="F901" i="1"/>
  <c r="E901" i="1" l="1"/>
  <c r="I901" i="1"/>
  <c r="G903" i="1"/>
  <c r="F902" i="1"/>
  <c r="E902" i="1" l="1"/>
  <c r="I902" i="1"/>
  <c r="G904" i="1"/>
  <c r="F903" i="1"/>
  <c r="E903" i="1" l="1"/>
  <c r="I903" i="1"/>
  <c r="G905" i="1"/>
  <c r="F904" i="1"/>
  <c r="E904" i="1" l="1"/>
  <c r="I904" i="1"/>
  <c r="G906" i="1"/>
  <c r="F905" i="1"/>
  <c r="E905" i="1" l="1"/>
  <c r="I905" i="1"/>
  <c r="G907" i="1"/>
  <c r="F906" i="1"/>
  <c r="E906" i="1" l="1"/>
  <c r="I906" i="1"/>
  <c r="G908" i="1"/>
  <c r="F907" i="1"/>
  <c r="E907" i="1" l="1"/>
  <c r="I907" i="1"/>
  <c r="G909" i="1"/>
  <c r="F908" i="1"/>
  <c r="E908" i="1" l="1"/>
  <c r="I908" i="1"/>
  <c r="G910" i="1"/>
  <c r="F909" i="1"/>
  <c r="E909" i="1" l="1"/>
  <c r="I909" i="1"/>
  <c r="G911" i="1"/>
  <c r="F910" i="1"/>
  <c r="E910" i="1" l="1"/>
  <c r="I910" i="1"/>
  <c r="G912" i="1"/>
  <c r="F911" i="1"/>
  <c r="G913" i="1" l="1"/>
  <c r="F912" i="1"/>
  <c r="E911" i="1"/>
  <c r="I911" i="1"/>
  <c r="E912" i="1" l="1"/>
  <c r="I912" i="1"/>
  <c r="G914" i="1"/>
  <c r="F913" i="1"/>
  <c r="E913" i="1" l="1"/>
  <c r="I913" i="1"/>
  <c r="G915" i="1"/>
  <c r="F914" i="1"/>
  <c r="E914" i="1" l="1"/>
  <c r="I914" i="1"/>
  <c r="G916" i="1"/>
  <c r="F915" i="1"/>
  <c r="E915" i="1" l="1"/>
  <c r="I915" i="1"/>
  <c r="G917" i="1"/>
  <c r="F916" i="1"/>
  <c r="E916" i="1" l="1"/>
  <c r="I916" i="1"/>
  <c r="G918" i="1"/>
  <c r="F917" i="1"/>
  <c r="G919" i="1" l="1"/>
  <c r="F918" i="1"/>
  <c r="E917" i="1"/>
  <c r="I917" i="1"/>
  <c r="E918" i="1" l="1"/>
  <c r="I918" i="1"/>
  <c r="G920" i="1"/>
  <c r="F919" i="1"/>
  <c r="E919" i="1" l="1"/>
  <c r="I919" i="1"/>
  <c r="G921" i="1"/>
  <c r="F920" i="1"/>
  <c r="G922" i="1" l="1"/>
  <c r="F921" i="1"/>
  <c r="E920" i="1"/>
  <c r="I920" i="1"/>
  <c r="E921" i="1" l="1"/>
  <c r="I921" i="1"/>
  <c r="G923" i="1"/>
  <c r="F922" i="1"/>
  <c r="E922" i="1" l="1"/>
  <c r="I922" i="1"/>
  <c r="G924" i="1"/>
  <c r="F923" i="1"/>
  <c r="G925" i="1" l="1"/>
  <c r="F924" i="1"/>
  <c r="E923" i="1"/>
  <c r="I923" i="1"/>
  <c r="E924" i="1" l="1"/>
  <c r="I924" i="1"/>
  <c r="G926" i="1"/>
  <c r="F925" i="1"/>
  <c r="E925" i="1" l="1"/>
  <c r="I925" i="1"/>
  <c r="G927" i="1"/>
  <c r="F926" i="1"/>
  <c r="G928" i="1" l="1"/>
  <c r="F927" i="1"/>
  <c r="E926" i="1"/>
  <c r="I926" i="1"/>
  <c r="E927" i="1" l="1"/>
  <c r="I927" i="1"/>
  <c r="G929" i="1"/>
  <c r="F928" i="1"/>
  <c r="G930" i="1" l="1"/>
  <c r="F929" i="1"/>
  <c r="E928" i="1"/>
  <c r="I928" i="1"/>
  <c r="E929" i="1" l="1"/>
  <c r="I929" i="1"/>
  <c r="G931" i="1"/>
  <c r="F930" i="1"/>
  <c r="G932" i="1" l="1"/>
  <c r="F931" i="1"/>
  <c r="E930" i="1"/>
  <c r="I930" i="1"/>
  <c r="E931" i="1" l="1"/>
  <c r="I931" i="1"/>
  <c r="G933" i="1"/>
  <c r="F932" i="1"/>
  <c r="G934" i="1" l="1"/>
  <c r="F933" i="1"/>
  <c r="E932" i="1"/>
  <c r="I932" i="1"/>
  <c r="E933" i="1" l="1"/>
  <c r="I933" i="1"/>
  <c r="G935" i="1"/>
  <c r="F934" i="1"/>
  <c r="G936" i="1" l="1"/>
  <c r="F935" i="1"/>
  <c r="E934" i="1"/>
  <c r="I934" i="1"/>
  <c r="E935" i="1" l="1"/>
  <c r="I935" i="1"/>
  <c r="G937" i="1"/>
  <c r="F936" i="1"/>
  <c r="E936" i="1" l="1"/>
  <c r="I936" i="1"/>
  <c r="G938" i="1"/>
  <c r="F937" i="1"/>
  <c r="E937" i="1" l="1"/>
  <c r="I937" i="1"/>
  <c r="G939" i="1"/>
  <c r="F938" i="1"/>
  <c r="E938" i="1" l="1"/>
  <c r="I938" i="1"/>
  <c r="G940" i="1"/>
  <c r="F939" i="1"/>
  <c r="G941" i="1" l="1"/>
  <c r="F940" i="1"/>
  <c r="E939" i="1"/>
  <c r="I939" i="1"/>
  <c r="E940" i="1" l="1"/>
  <c r="I940" i="1"/>
  <c r="G942" i="1"/>
  <c r="F941" i="1"/>
  <c r="G943" i="1" l="1"/>
  <c r="F942" i="1"/>
  <c r="E941" i="1"/>
  <c r="I941" i="1"/>
  <c r="E942" i="1" l="1"/>
  <c r="I942" i="1"/>
  <c r="G944" i="1"/>
  <c r="F943" i="1"/>
  <c r="E943" i="1" l="1"/>
  <c r="I943" i="1"/>
  <c r="G945" i="1"/>
  <c r="F944" i="1"/>
  <c r="E944" i="1" l="1"/>
  <c r="I944" i="1"/>
  <c r="G946" i="1"/>
  <c r="F945" i="1"/>
  <c r="E945" i="1" l="1"/>
  <c r="I945" i="1"/>
  <c r="G947" i="1"/>
  <c r="F946" i="1"/>
  <c r="E946" i="1" l="1"/>
  <c r="I946" i="1"/>
  <c r="G948" i="1"/>
  <c r="F947" i="1"/>
  <c r="E947" i="1" l="1"/>
  <c r="I947" i="1"/>
  <c r="G949" i="1"/>
  <c r="F948" i="1"/>
  <c r="G950" i="1" l="1"/>
  <c r="F949" i="1"/>
  <c r="E948" i="1"/>
  <c r="I948" i="1"/>
  <c r="E949" i="1" l="1"/>
  <c r="I949" i="1"/>
  <c r="G951" i="1"/>
  <c r="F950" i="1"/>
  <c r="G952" i="1" l="1"/>
  <c r="F951" i="1"/>
  <c r="E950" i="1"/>
  <c r="I950" i="1"/>
  <c r="E951" i="1" l="1"/>
  <c r="I951" i="1"/>
  <c r="G953" i="1"/>
  <c r="F952" i="1"/>
  <c r="E952" i="1" l="1"/>
  <c r="I952" i="1"/>
  <c r="G954" i="1"/>
  <c r="F953" i="1"/>
  <c r="E953" i="1" l="1"/>
  <c r="I953" i="1"/>
  <c r="G955" i="1"/>
  <c r="F954" i="1"/>
  <c r="G956" i="1" l="1"/>
  <c r="F955" i="1"/>
  <c r="E954" i="1"/>
  <c r="I954" i="1"/>
  <c r="E955" i="1" l="1"/>
  <c r="I955" i="1"/>
  <c r="G957" i="1"/>
  <c r="F956" i="1"/>
  <c r="E956" i="1" l="1"/>
  <c r="I956" i="1"/>
  <c r="G958" i="1"/>
  <c r="F957" i="1"/>
  <c r="E957" i="1" l="1"/>
  <c r="I957" i="1"/>
  <c r="G959" i="1"/>
  <c r="F958" i="1"/>
  <c r="E958" i="1" l="1"/>
  <c r="I958" i="1"/>
  <c r="G960" i="1"/>
  <c r="F959" i="1"/>
  <c r="E959" i="1" l="1"/>
  <c r="I959" i="1"/>
  <c r="G961" i="1"/>
  <c r="F960" i="1"/>
  <c r="E960" i="1" l="1"/>
  <c r="I960" i="1"/>
  <c r="G962" i="1"/>
  <c r="F961" i="1"/>
  <c r="G963" i="1" l="1"/>
  <c r="F962" i="1"/>
  <c r="E961" i="1"/>
  <c r="I961" i="1"/>
  <c r="E962" i="1" l="1"/>
  <c r="I962" i="1"/>
  <c r="G964" i="1"/>
  <c r="F963" i="1"/>
  <c r="E963" i="1" l="1"/>
  <c r="I963" i="1"/>
  <c r="G965" i="1"/>
  <c r="F964" i="1"/>
  <c r="E964" i="1" l="1"/>
  <c r="I964" i="1"/>
  <c r="G966" i="1"/>
  <c r="F965" i="1"/>
  <c r="E965" i="1" l="1"/>
  <c r="I965" i="1"/>
  <c r="G967" i="1"/>
  <c r="F966" i="1"/>
  <c r="E966" i="1" l="1"/>
  <c r="I966" i="1"/>
  <c r="G968" i="1"/>
  <c r="F967" i="1"/>
  <c r="E967" i="1" l="1"/>
  <c r="I967" i="1"/>
  <c r="G969" i="1"/>
  <c r="F968" i="1"/>
  <c r="E968" i="1" l="1"/>
  <c r="I968" i="1"/>
  <c r="G970" i="1"/>
  <c r="F969" i="1"/>
  <c r="E969" i="1" l="1"/>
  <c r="I969" i="1"/>
  <c r="G971" i="1"/>
  <c r="F970" i="1"/>
  <c r="G972" i="1" l="1"/>
  <c r="F971" i="1"/>
  <c r="E970" i="1"/>
  <c r="I970" i="1"/>
  <c r="G973" i="1" l="1"/>
  <c r="F972" i="1"/>
  <c r="E971" i="1"/>
  <c r="I971" i="1"/>
  <c r="G974" i="1" l="1"/>
  <c r="F973" i="1"/>
  <c r="E972" i="1"/>
  <c r="I972" i="1"/>
  <c r="E973" i="1" l="1"/>
  <c r="I973" i="1"/>
  <c r="G975" i="1"/>
  <c r="F974" i="1"/>
  <c r="E974" i="1" l="1"/>
  <c r="I974" i="1"/>
  <c r="G976" i="1"/>
  <c r="F975" i="1"/>
  <c r="G977" i="1" l="1"/>
  <c r="F976" i="1"/>
  <c r="E975" i="1"/>
  <c r="I975" i="1"/>
  <c r="E976" i="1" l="1"/>
  <c r="I976" i="1"/>
  <c r="G978" i="1"/>
  <c r="F977" i="1"/>
  <c r="E977" i="1" l="1"/>
  <c r="I977" i="1"/>
  <c r="G979" i="1"/>
  <c r="F978" i="1"/>
  <c r="E978" i="1" l="1"/>
  <c r="I978" i="1"/>
  <c r="G980" i="1"/>
  <c r="F979" i="1"/>
  <c r="E979" i="1" l="1"/>
  <c r="I979" i="1"/>
  <c r="G981" i="1"/>
  <c r="F980" i="1"/>
  <c r="E980" i="1" l="1"/>
  <c r="I980" i="1"/>
  <c r="G982" i="1"/>
  <c r="F981" i="1"/>
  <c r="G983" i="1" l="1"/>
  <c r="F982" i="1"/>
  <c r="E981" i="1"/>
  <c r="I981" i="1"/>
  <c r="E982" i="1" l="1"/>
  <c r="I982" i="1"/>
  <c r="G984" i="1"/>
  <c r="F983" i="1"/>
  <c r="E983" i="1" l="1"/>
  <c r="I983" i="1"/>
  <c r="G985" i="1"/>
  <c r="F984" i="1"/>
  <c r="E984" i="1" l="1"/>
  <c r="I984" i="1"/>
  <c r="G986" i="1"/>
  <c r="F985" i="1"/>
  <c r="G987" i="1" l="1"/>
  <c r="F986" i="1"/>
  <c r="E985" i="1"/>
  <c r="I985" i="1"/>
  <c r="G988" i="1" l="1"/>
  <c r="F987" i="1"/>
  <c r="E986" i="1"/>
  <c r="I986" i="1"/>
  <c r="E987" i="1" l="1"/>
  <c r="I987" i="1"/>
  <c r="G989" i="1"/>
  <c r="F988" i="1"/>
  <c r="E988" i="1" l="1"/>
  <c r="I988" i="1"/>
  <c r="G990" i="1"/>
  <c r="F989" i="1"/>
  <c r="E989" i="1" l="1"/>
  <c r="I989" i="1"/>
  <c r="G991" i="1"/>
  <c r="F990" i="1"/>
  <c r="E990" i="1" l="1"/>
  <c r="I990" i="1"/>
  <c r="G992" i="1"/>
  <c r="F991" i="1"/>
  <c r="G993" i="1" l="1"/>
  <c r="F992" i="1"/>
  <c r="E991" i="1"/>
  <c r="I991" i="1"/>
  <c r="E992" i="1" l="1"/>
  <c r="I992" i="1"/>
  <c r="G994" i="1"/>
  <c r="F993" i="1"/>
  <c r="E993" i="1" l="1"/>
  <c r="I993" i="1"/>
  <c r="G995" i="1"/>
  <c r="F994" i="1"/>
  <c r="E994" i="1" l="1"/>
  <c r="I994" i="1"/>
  <c r="G996" i="1"/>
  <c r="F995" i="1"/>
  <c r="E995" i="1" l="1"/>
  <c r="I995" i="1"/>
  <c r="G997" i="1"/>
  <c r="F996" i="1"/>
  <c r="G998" i="1" l="1"/>
  <c r="F997" i="1"/>
  <c r="E996" i="1"/>
  <c r="I996" i="1"/>
  <c r="G999" i="1" l="1"/>
  <c r="F998" i="1"/>
  <c r="E997" i="1"/>
  <c r="I997" i="1"/>
  <c r="E998" i="1" l="1"/>
  <c r="I998" i="1"/>
  <c r="G1000" i="1"/>
  <c r="F999" i="1"/>
  <c r="G1001" i="1" l="1"/>
  <c r="F1000" i="1"/>
  <c r="E999" i="1"/>
  <c r="I999" i="1"/>
  <c r="E1000" i="1" l="1"/>
  <c r="I1000" i="1"/>
  <c r="G1002" i="1"/>
  <c r="F1001" i="1"/>
  <c r="E1001" i="1" l="1"/>
  <c r="I1001" i="1"/>
  <c r="G1003" i="1"/>
  <c r="F1002" i="1"/>
  <c r="G1004" i="1" l="1"/>
  <c r="F1003" i="1"/>
  <c r="E1002" i="1"/>
  <c r="I1002" i="1"/>
  <c r="E1003" i="1" l="1"/>
  <c r="I1003" i="1"/>
  <c r="G1005" i="1"/>
  <c r="F1004" i="1"/>
  <c r="G1006" i="1" l="1"/>
  <c r="F1005" i="1"/>
  <c r="E1004" i="1"/>
  <c r="I1004" i="1"/>
  <c r="E1005" i="1" l="1"/>
  <c r="I1005" i="1"/>
  <c r="G1007" i="1"/>
  <c r="F1006" i="1"/>
  <c r="G1008" i="1" l="1"/>
  <c r="F1007" i="1"/>
  <c r="E1006" i="1"/>
  <c r="I1006" i="1"/>
  <c r="E1007" i="1" l="1"/>
  <c r="I1007" i="1"/>
  <c r="G1009" i="1"/>
  <c r="F1008" i="1"/>
  <c r="G1010" i="1" l="1"/>
  <c r="F1009" i="1"/>
  <c r="E1008" i="1"/>
  <c r="I1008" i="1"/>
  <c r="E1009" i="1" l="1"/>
  <c r="I1009" i="1"/>
  <c r="G1011" i="1"/>
  <c r="F1010" i="1"/>
  <c r="G1012" i="1" l="1"/>
  <c r="F1011" i="1"/>
  <c r="E1010" i="1"/>
  <c r="I1010" i="1"/>
  <c r="E1011" i="1" l="1"/>
  <c r="I1011" i="1"/>
  <c r="G1013" i="1"/>
  <c r="F1012" i="1"/>
  <c r="G1014" i="1" l="1"/>
  <c r="F1013" i="1"/>
  <c r="E1012" i="1"/>
  <c r="I1012" i="1"/>
  <c r="E1013" i="1" l="1"/>
  <c r="I1013" i="1"/>
  <c r="G1015" i="1"/>
  <c r="F1014" i="1"/>
  <c r="G1016" i="1" l="1"/>
  <c r="F1015" i="1"/>
  <c r="E1014" i="1"/>
  <c r="I1014" i="1"/>
  <c r="E1015" i="1" l="1"/>
  <c r="I1015" i="1"/>
  <c r="G1017" i="1"/>
  <c r="F1016" i="1"/>
  <c r="G1018" i="1" l="1"/>
  <c r="F1017" i="1"/>
  <c r="E1016" i="1"/>
  <c r="I1016" i="1"/>
  <c r="E1017" i="1" l="1"/>
  <c r="I1017" i="1"/>
  <c r="G1019" i="1"/>
  <c r="F1018" i="1"/>
  <c r="G1020" i="1" l="1"/>
  <c r="F1019" i="1"/>
  <c r="E1018" i="1"/>
  <c r="I1018" i="1"/>
  <c r="E1019" i="1" l="1"/>
  <c r="I1019" i="1"/>
  <c r="G1021" i="1"/>
  <c r="F1020" i="1"/>
  <c r="G1022" i="1" l="1"/>
  <c r="F1021" i="1"/>
  <c r="E1020" i="1"/>
  <c r="I1020" i="1"/>
  <c r="E1021" i="1" l="1"/>
  <c r="I1021" i="1"/>
  <c r="G1023" i="1"/>
  <c r="F1022" i="1"/>
  <c r="G1024" i="1" l="1"/>
  <c r="F1023" i="1"/>
  <c r="E1022" i="1"/>
  <c r="I1022" i="1"/>
  <c r="E1023" i="1" l="1"/>
  <c r="I1023" i="1"/>
  <c r="G1025" i="1"/>
  <c r="F1024" i="1"/>
  <c r="G1026" i="1" l="1"/>
  <c r="F1025" i="1"/>
  <c r="E1024" i="1"/>
  <c r="I1024" i="1"/>
  <c r="E1025" i="1" l="1"/>
  <c r="I1025" i="1"/>
  <c r="G1027" i="1"/>
  <c r="F1026" i="1"/>
  <c r="E1026" i="1" l="1"/>
  <c r="I1026" i="1"/>
  <c r="G1028" i="1"/>
  <c r="F1027" i="1"/>
  <c r="G1029" i="1" l="1"/>
  <c r="F1028" i="1"/>
  <c r="E1027" i="1"/>
  <c r="I1027" i="1"/>
  <c r="E1028" i="1" l="1"/>
  <c r="I1028" i="1"/>
  <c r="G1030" i="1"/>
  <c r="F1029" i="1"/>
  <c r="G1031" i="1" l="1"/>
  <c r="F1030" i="1"/>
  <c r="E1029" i="1"/>
  <c r="I1029" i="1"/>
  <c r="E1030" i="1" l="1"/>
  <c r="I1030" i="1"/>
  <c r="G1032" i="1"/>
  <c r="F1031" i="1"/>
  <c r="G1033" i="1" l="1"/>
  <c r="F1032" i="1"/>
  <c r="E1031" i="1"/>
  <c r="I1031" i="1"/>
  <c r="E1032" i="1" l="1"/>
  <c r="I1032" i="1"/>
  <c r="G1034" i="1"/>
  <c r="F1033" i="1"/>
  <c r="E1033" i="1" l="1"/>
  <c r="I1033" i="1"/>
  <c r="G1035" i="1"/>
  <c r="F1034" i="1"/>
  <c r="G1036" i="1" l="1"/>
  <c r="F1035" i="1"/>
  <c r="E1034" i="1"/>
  <c r="I1034" i="1"/>
  <c r="E1035" i="1" l="1"/>
  <c r="I1035" i="1"/>
  <c r="G1037" i="1"/>
  <c r="F1036" i="1"/>
  <c r="G1038" i="1" l="1"/>
  <c r="F1037" i="1"/>
  <c r="E1036" i="1"/>
  <c r="I1036" i="1"/>
  <c r="E1037" i="1" l="1"/>
  <c r="I1037" i="1"/>
  <c r="G1039" i="1"/>
  <c r="F1038" i="1"/>
  <c r="G1040" i="1" l="1"/>
  <c r="F1039" i="1"/>
  <c r="E1038" i="1"/>
  <c r="I1038" i="1"/>
  <c r="E1039" i="1" l="1"/>
  <c r="I1039" i="1"/>
  <c r="G1041" i="1"/>
  <c r="F1040" i="1"/>
  <c r="G1042" i="1" l="1"/>
  <c r="F1041" i="1"/>
  <c r="E1040" i="1"/>
  <c r="I1040" i="1"/>
  <c r="E1041" i="1" l="1"/>
  <c r="I1041" i="1"/>
  <c r="G1043" i="1"/>
  <c r="F1042" i="1"/>
  <c r="G1044" i="1" l="1"/>
  <c r="F1043" i="1"/>
  <c r="E1042" i="1"/>
  <c r="I1042" i="1"/>
  <c r="E1043" i="1" l="1"/>
  <c r="I1043" i="1"/>
  <c r="G1045" i="1"/>
  <c r="F1044" i="1"/>
  <c r="G1046" i="1" l="1"/>
  <c r="F1045" i="1"/>
  <c r="E1044" i="1"/>
  <c r="I1044" i="1"/>
  <c r="E1045" i="1" l="1"/>
  <c r="I1045" i="1"/>
  <c r="G1047" i="1"/>
  <c r="F1046" i="1"/>
  <c r="G1048" i="1" l="1"/>
  <c r="F1047" i="1"/>
  <c r="E1046" i="1"/>
  <c r="I1046" i="1"/>
  <c r="E1047" i="1" l="1"/>
  <c r="I1047" i="1"/>
  <c r="G1049" i="1"/>
  <c r="F1048" i="1"/>
  <c r="G1050" i="1" l="1"/>
  <c r="F1049" i="1"/>
  <c r="E1048" i="1"/>
  <c r="I1048" i="1"/>
  <c r="E1049" i="1" l="1"/>
  <c r="I1049" i="1"/>
  <c r="G1051" i="1"/>
  <c r="F1050" i="1"/>
  <c r="E1050" i="1" l="1"/>
  <c r="I1050" i="1"/>
  <c r="G1052" i="1"/>
  <c r="F1051" i="1"/>
  <c r="G1053" i="1" l="1"/>
  <c r="F1052" i="1"/>
  <c r="E1051" i="1"/>
  <c r="I1051" i="1"/>
  <c r="E1052" i="1" l="1"/>
  <c r="I1052" i="1"/>
  <c r="G1054" i="1"/>
  <c r="F1053" i="1"/>
  <c r="G1055" i="1" l="1"/>
  <c r="F1054" i="1"/>
  <c r="E1053" i="1"/>
  <c r="I1053" i="1"/>
  <c r="E1054" i="1" l="1"/>
  <c r="I1054" i="1"/>
  <c r="G1056" i="1"/>
  <c r="F1055" i="1"/>
  <c r="G1057" i="1" l="1"/>
  <c r="F1056" i="1"/>
  <c r="E1055" i="1"/>
  <c r="I1055" i="1"/>
  <c r="E1056" i="1" l="1"/>
  <c r="I1056" i="1"/>
  <c r="G1058" i="1"/>
  <c r="F1057" i="1"/>
  <c r="G1059" i="1" l="1"/>
  <c r="F1058" i="1"/>
  <c r="E1057" i="1"/>
  <c r="I1057" i="1"/>
  <c r="E1058" i="1" l="1"/>
  <c r="I1058" i="1"/>
  <c r="G1060" i="1"/>
  <c r="F1059" i="1"/>
  <c r="G1061" i="1" l="1"/>
  <c r="F1060" i="1"/>
  <c r="E1059" i="1"/>
  <c r="I1059" i="1"/>
  <c r="E1060" i="1" l="1"/>
  <c r="I1060" i="1"/>
  <c r="G1062" i="1"/>
  <c r="F1061" i="1"/>
  <c r="G1063" i="1" l="1"/>
  <c r="F1062" i="1"/>
  <c r="E1061" i="1"/>
  <c r="I1061" i="1"/>
  <c r="E1062" i="1" l="1"/>
  <c r="I1062" i="1"/>
  <c r="G1064" i="1"/>
  <c r="F1063" i="1"/>
  <c r="E1063" i="1" l="1"/>
  <c r="I1063" i="1"/>
  <c r="G1065" i="1"/>
  <c r="F1064" i="1"/>
  <c r="G1066" i="1" l="1"/>
  <c r="F1065" i="1"/>
  <c r="E1064" i="1"/>
  <c r="I1064" i="1"/>
  <c r="E1065" i="1" l="1"/>
  <c r="I1065" i="1"/>
  <c r="G1067" i="1"/>
  <c r="F1066" i="1"/>
  <c r="G1068" i="1" l="1"/>
  <c r="F1067" i="1"/>
  <c r="E1066" i="1"/>
  <c r="I1066" i="1"/>
  <c r="E1067" i="1" l="1"/>
  <c r="I1067" i="1"/>
  <c r="G1069" i="1"/>
  <c r="F1068" i="1"/>
  <c r="E1068" i="1" l="1"/>
  <c r="I1068" i="1"/>
  <c r="G1070" i="1"/>
  <c r="F1069" i="1"/>
  <c r="G1071" i="1" l="1"/>
  <c r="F1070" i="1"/>
  <c r="E1069" i="1"/>
  <c r="I1069" i="1"/>
  <c r="E1070" i="1" l="1"/>
  <c r="I1070" i="1"/>
  <c r="G1072" i="1"/>
  <c r="F1071" i="1"/>
  <c r="G1073" i="1" l="1"/>
  <c r="F1072" i="1"/>
  <c r="E1071" i="1"/>
  <c r="I1071" i="1"/>
  <c r="E1072" i="1" l="1"/>
  <c r="I1072" i="1"/>
  <c r="G1074" i="1"/>
  <c r="F1073" i="1"/>
  <c r="G1075" i="1" l="1"/>
  <c r="F1074" i="1"/>
  <c r="E1073" i="1"/>
  <c r="I1073" i="1"/>
  <c r="E1074" i="1" l="1"/>
  <c r="I1074" i="1"/>
  <c r="G1076" i="1"/>
  <c r="F1075" i="1"/>
  <c r="E1075" i="1" l="1"/>
  <c r="I1075" i="1"/>
  <c r="G1077" i="1"/>
  <c r="F1076" i="1"/>
  <c r="G1078" i="1" l="1"/>
  <c r="F1077" i="1"/>
  <c r="E1076" i="1"/>
  <c r="I1076" i="1"/>
  <c r="E1077" i="1" l="1"/>
  <c r="I1077" i="1"/>
  <c r="G1079" i="1"/>
  <c r="F1078" i="1"/>
  <c r="G1080" i="1" l="1"/>
  <c r="F1079" i="1"/>
  <c r="E1078" i="1"/>
  <c r="I1078" i="1"/>
  <c r="E1079" i="1" l="1"/>
  <c r="I1079" i="1"/>
  <c r="G1081" i="1"/>
  <c r="F1080" i="1"/>
  <c r="G1082" i="1" l="1"/>
  <c r="F1081" i="1"/>
  <c r="E1080" i="1"/>
  <c r="I1080" i="1"/>
  <c r="E1081" i="1" l="1"/>
  <c r="I1081" i="1"/>
  <c r="G1083" i="1"/>
  <c r="F1082" i="1"/>
  <c r="G1084" i="1" l="1"/>
  <c r="F1083" i="1"/>
  <c r="E1082" i="1"/>
  <c r="I1082" i="1"/>
  <c r="E1083" i="1" l="1"/>
  <c r="I1083" i="1"/>
  <c r="G1085" i="1"/>
  <c r="F1084" i="1"/>
  <c r="G1086" i="1" l="1"/>
  <c r="F1085" i="1"/>
  <c r="E1084" i="1"/>
  <c r="I1084" i="1"/>
  <c r="E1085" i="1" l="1"/>
  <c r="I1085" i="1"/>
  <c r="G1087" i="1"/>
  <c r="F1086" i="1"/>
  <c r="G1088" i="1" l="1"/>
  <c r="F1087" i="1"/>
  <c r="E1086" i="1"/>
  <c r="I1086" i="1"/>
  <c r="E1087" i="1" l="1"/>
  <c r="I1087" i="1"/>
  <c r="G1089" i="1"/>
  <c r="F1088" i="1"/>
  <c r="E1088" i="1" l="1"/>
  <c r="I1088" i="1"/>
  <c r="G1090" i="1"/>
  <c r="F1089" i="1"/>
  <c r="G1091" i="1" l="1"/>
  <c r="F1090" i="1"/>
  <c r="E1089" i="1"/>
  <c r="I1089" i="1"/>
  <c r="E1090" i="1" l="1"/>
  <c r="I1090" i="1"/>
  <c r="G1092" i="1"/>
  <c r="F1091" i="1"/>
  <c r="G1093" i="1" l="1"/>
  <c r="F1092" i="1"/>
  <c r="E1091" i="1"/>
  <c r="I1091" i="1"/>
  <c r="E1092" i="1" l="1"/>
  <c r="I1092" i="1"/>
  <c r="G1094" i="1"/>
  <c r="F1093" i="1"/>
  <c r="E1093" i="1" l="1"/>
  <c r="I1093" i="1"/>
  <c r="G1095" i="1"/>
  <c r="F1094" i="1"/>
  <c r="G1096" i="1" l="1"/>
  <c r="F1095" i="1"/>
  <c r="E1094" i="1"/>
  <c r="I1094" i="1"/>
  <c r="E1095" i="1" l="1"/>
  <c r="I1095" i="1"/>
  <c r="G1097" i="1"/>
  <c r="F1096" i="1"/>
  <c r="G1098" i="1" l="1"/>
  <c r="F1097" i="1"/>
  <c r="E1096" i="1"/>
  <c r="I1096" i="1"/>
  <c r="G1099" i="1" l="1"/>
  <c r="F1098" i="1"/>
  <c r="E1097" i="1"/>
  <c r="I1097" i="1"/>
  <c r="G1100" i="1" l="1"/>
  <c r="F1099" i="1"/>
  <c r="E1098" i="1"/>
  <c r="I1098" i="1"/>
  <c r="G1101" i="1" l="1"/>
  <c r="F1100" i="1"/>
  <c r="E1099" i="1"/>
  <c r="I1099" i="1"/>
  <c r="E1100" i="1" l="1"/>
  <c r="I1100" i="1"/>
  <c r="G1102" i="1"/>
  <c r="F1101" i="1"/>
  <c r="E1101" i="1" l="1"/>
  <c r="I1101" i="1"/>
  <c r="G1103" i="1"/>
  <c r="F1102" i="1"/>
  <c r="G1104" i="1" l="1"/>
  <c r="F1103" i="1"/>
  <c r="E1102" i="1"/>
  <c r="I1102" i="1"/>
  <c r="E1103" i="1" l="1"/>
  <c r="I1103" i="1"/>
  <c r="G1105" i="1"/>
  <c r="F1104" i="1"/>
  <c r="E1104" i="1" l="1"/>
  <c r="I1104" i="1"/>
  <c r="G1106" i="1"/>
  <c r="F1105" i="1"/>
  <c r="G1107" i="1" l="1"/>
  <c r="F1106" i="1"/>
  <c r="E1105" i="1"/>
  <c r="I1105" i="1"/>
  <c r="G1108" i="1" l="1"/>
  <c r="F1107" i="1"/>
  <c r="E1106" i="1"/>
  <c r="I1106" i="1"/>
  <c r="E1107" i="1" l="1"/>
  <c r="I1107" i="1"/>
  <c r="G1109" i="1"/>
  <c r="F1108" i="1"/>
  <c r="E1108" i="1" l="1"/>
  <c r="I1108" i="1"/>
  <c r="G1110" i="1"/>
  <c r="F1109" i="1"/>
  <c r="E1109" i="1" l="1"/>
  <c r="I1109" i="1"/>
  <c r="G1111" i="1"/>
  <c r="F1110" i="1"/>
  <c r="G1112" i="1" l="1"/>
  <c r="F1111" i="1"/>
  <c r="E1110" i="1"/>
  <c r="I1110" i="1"/>
  <c r="E1111" i="1" l="1"/>
  <c r="I1111" i="1"/>
  <c r="G1113" i="1"/>
  <c r="F1112" i="1"/>
  <c r="E1112" i="1" l="1"/>
  <c r="I1112" i="1"/>
  <c r="G1114" i="1"/>
  <c r="F1113" i="1"/>
  <c r="G1115" i="1" l="1"/>
  <c r="F1114" i="1"/>
  <c r="E1113" i="1"/>
  <c r="I1113" i="1"/>
  <c r="G1116" i="1" l="1"/>
  <c r="F1115" i="1"/>
  <c r="E1114" i="1"/>
  <c r="I1114" i="1"/>
  <c r="G1117" i="1" l="1"/>
  <c r="F1116" i="1"/>
  <c r="E1115" i="1"/>
  <c r="I1115" i="1"/>
  <c r="E1116" i="1" l="1"/>
  <c r="I1116" i="1"/>
  <c r="G1118" i="1"/>
  <c r="F1117" i="1"/>
  <c r="E1117" i="1" l="1"/>
  <c r="I1117" i="1"/>
  <c r="G1119" i="1"/>
  <c r="F1118" i="1"/>
  <c r="G1120" i="1" l="1"/>
  <c r="F1119" i="1"/>
  <c r="E1118" i="1"/>
  <c r="I1118" i="1"/>
  <c r="G1121" i="1" l="1"/>
  <c r="F1120" i="1"/>
  <c r="E1119" i="1"/>
  <c r="I1119" i="1"/>
  <c r="E1120" i="1" l="1"/>
  <c r="I1120" i="1"/>
  <c r="G1122" i="1"/>
  <c r="F1121" i="1"/>
  <c r="E1121" i="1" l="1"/>
  <c r="I1121" i="1"/>
  <c r="G1123" i="1"/>
  <c r="F1122" i="1"/>
  <c r="E1122" i="1" l="1"/>
  <c r="I1122" i="1"/>
  <c r="G1124" i="1"/>
  <c r="F1123" i="1"/>
  <c r="E1123" i="1" l="1"/>
  <c r="I1123" i="1"/>
  <c r="G1125" i="1"/>
  <c r="F1124" i="1"/>
  <c r="E1124" i="1" l="1"/>
  <c r="I1124" i="1"/>
  <c r="G1126" i="1"/>
  <c r="F1125" i="1"/>
  <c r="E1125" i="1" l="1"/>
  <c r="I1125" i="1"/>
  <c r="G1127" i="1"/>
  <c r="F1126" i="1"/>
  <c r="G1128" i="1" l="1"/>
  <c r="F1127" i="1"/>
  <c r="E1126" i="1"/>
  <c r="I1126" i="1"/>
  <c r="G1129" i="1" l="1"/>
  <c r="F1128" i="1"/>
  <c r="E1127" i="1"/>
  <c r="I1127" i="1"/>
  <c r="E1128" i="1" l="1"/>
  <c r="I1128" i="1"/>
  <c r="G1130" i="1"/>
  <c r="F1129" i="1"/>
  <c r="G1131" i="1" l="1"/>
  <c r="F1130" i="1"/>
  <c r="E1129" i="1"/>
  <c r="I1129" i="1"/>
  <c r="E1130" i="1" l="1"/>
  <c r="I1130" i="1"/>
  <c r="G1132" i="1"/>
  <c r="F1131" i="1"/>
  <c r="E1131" i="1" l="1"/>
  <c r="I1131" i="1"/>
  <c r="G1133" i="1"/>
  <c r="F1132" i="1"/>
  <c r="G1134" i="1" l="1"/>
  <c r="F1133" i="1"/>
  <c r="E1132" i="1"/>
  <c r="I1132" i="1"/>
  <c r="G1135" i="1" l="1"/>
  <c r="F1134" i="1"/>
  <c r="E1133" i="1"/>
  <c r="I1133" i="1"/>
  <c r="E1134" i="1" l="1"/>
  <c r="I1134" i="1"/>
  <c r="G1136" i="1"/>
  <c r="F1135" i="1"/>
  <c r="E1135" i="1" l="1"/>
  <c r="I1135" i="1"/>
  <c r="G1137" i="1"/>
  <c r="F1136" i="1"/>
  <c r="G1138" i="1" l="1"/>
  <c r="F1137" i="1"/>
  <c r="E1136" i="1"/>
  <c r="I1136" i="1"/>
  <c r="E1137" i="1" l="1"/>
  <c r="I1137" i="1"/>
  <c r="G1139" i="1"/>
  <c r="F1138" i="1"/>
  <c r="E1138" i="1" l="1"/>
  <c r="I1138" i="1"/>
  <c r="G1140" i="1"/>
  <c r="F1139" i="1"/>
  <c r="E1139" i="1" l="1"/>
  <c r="I1139" i="1"/>
  <c r="G1141" i="1"/>
  <c r="F1140" i="1"/>
  <c r="E1140" i="1" l="1"/>
  <c r="I1140" i="1"/>
  <c r="G1142" i="1"/>
  <c r="F1141" i="1"/>
  <c r="G1143" i="1" l="1"/>
  <c r="F1142" i="1"/>
  <c r="E1141" i="1"/>
  <c r="I1141" i="1"/>
  <c r="E1142" i="1" l="1"/>
  <c r="I1142" i="1"/>
  <c r="G1144" i="1"/>
  <c r="F1143" i="1"/>
  <c r="E1143" i="1" l="1"/>
  <c r="I1143" i="1"/>
  <c r="G1145" i="1"/>
  <c r="F1144" i="1"/>
  <c r="E1144" i="1" l="1"/>
  <c r="I1144" i="1"/>
  <c r="G1146" i="1"/>
  <c r="F1145" i="1"/>
  <c r="E1145" i="1" l="1"/>
  <c r="I1145" i="1"/>
  <c r="G1147" i="1"/>
  <c r="F1146" i="1"/>
  <c r="E1146" i="1" l="1"/>
  <c r="I1146" i="1"/>
  <c r="G1148" i="1"/>
  <c r="F1147" i="1"/>
  <c r="G1149" i="1" l="1"/>
  <c r="F1148" i="1"/>
  <c r="E1147" i="1"/>
  <c r="I1147" i="1"/>
  <c r="E1148" i="1" l="1"/>
  <c r="I1148" i="1"/>
  <c r="G1150" i="1"/>
  <c r="F1149" i="1"/>
  <c r="E1149" i="1" l="1"/>
  <c r="I1149" i="1"/>
  <c r="G1151" i="1"/>
  <c r="F1150" i="1"/>
  <c r="E1150" i="1" l="1"/>
  <c r="I1150" i="1"/>
  <c r="G1152" i="1"/>
  <c r="F1151" i="1"/>
  <c r="E1151" i="1" l="1"/>
  <c r="I1151" i="1"/>
  <c r="G1153" i="1"/>
  <c r="F1152" i="1"/>
  <c r="E1152" i="1" l="1"/>
  <c r="I1152" i="1"/>
  <c r="G1154" i="1"/>
  <c r="F1153" i="1"/>
  <c r="E1153" i="1" l="1"/>
  <c r="I1153" i="1"/>
  <c r="G1155" i="1"/>
  <c r="F1154" i="1"/>
  <c r="E1154" i="1" l="1"/>
  <c r="I1154" i="1"/>
  <c r="G1156" i="1"/>
  <c r="F1155" i="1"/>
  <c r="E1155" i="1" l="1"/>
  <c r="I1155" i="1"/>
  <c r="G1157" i="1"/>
  <c r="F1156" i="1"/>
  <c r="E1156" i="1" l="1"/>
  <c r="I1156" i="1"/>
  <c r="G1158" i="1"/>
  <c r="F1157" i="1"/>
  <c r="E1157" i="1" l="1"/>
  <c r="I1157" i="1"/>
  <c r="G1159" i="1"/>
  <c r="F1158" i="1"/>
  <c r="G1160" i="1" l="1"/>
  <c r="F1159" i="1"/>
  <c r="E1158" i="1"/>
  <c r="I1158" i="1"/>
  <c r="E1159" i="1" l="1"/>
  <c r="I1159" i="1"/>
  <c r="G1161" i="1"/>
  <c r="F1160" i="1"/>
  <c r="E1160" i="1" l="1"/>
  <c r="I1160" i="1"/>
  <c r="G1162" i="1"/>
  <c r="F1161" i="1"/>
  <c r="E1161" i="1" l="1"/>
  <c r="I1161" i="1"/>
  <c r="G1163" i="1"/>
  <c r="F1162" i="1"/>
  <c r="E1162" i="1" l="1"/>
  <c r="I1162" i="1"/>
  <c r="G1164" i="1"/>
  <c r="F1163" i="1"/>
  <c r="E1163" i="1" l="1"/>
  <c r="I1163" i="1"/>
  <c r="G1165" i="1"/>
  <c r="F1164" i="1"/>
  <c r="E1164" i="1" l="1"/>
  <c r="I1164" i="1"/>
  <c r="G1166" i="1"/>
  <c r="F1165" i="1"/>
  <c r="G1167" i="1" l="1"/>
  <c r="F1166" i="1"/>
  <c r="E1165" i="1"/>
  <c r="I1165" i="1"/>
  <c r="G1168" i="1" l="1"/>
  <c r="F1167" i="1"/>
  <c r="E1166" i="1"/>
  <c r="I1166" i="1"/>
  <c r="G1169" i="1" l="1"/>
  <c r="F1168" i="1"/>
  <c r="E1167" i="1"/>
  <c r="I1167" i="1"/>
  <c r="G1170" i="1" l="1"/>
  <c r="F1169" i="1"/>
  <c r="E1168" i="1"/>
  <c r="I1168" i="1"/>
  <c r="E1169" i="1" l="1"/>
  <c r="I1169" i="1"/>
  <c r="G1171" i="1"/>
  <c r="F1170" i="1"/>
  <c r="E1170" i="1" l="1"/>
  <c r="I1170" i="1"/>
  <c r="G1172" i="1"/>
  <c r="F1171" i="1"/>
  <c r="E1171" i="1" l="1"/>
  <c r="I1171" i="1"/>
  <c r="G1173" i="1"/>
  <c r="F1172" i="1"/>
  <c r="G1174" i="1" l="1"/>
  <c r="F1173" i="1"/>
  <c r="E1172" i="1"/>
  <c r="I1172" i="1"/>
  <c r="G1175" i="1" l="1"/>
  <c r="F1174" i="1"/>
  <c r="E1173" i="1"/>
  <c r="I1173" i="1"/>
  <c r="G1176" i="1" l="1"/>
  <c r="F1175" i="1"/>
  <c r="E1174" i="1"/>
  <c r="I1174" i="1"/>
  <c r="G1177" i="1" l="1"/>
  <c r="F1176" i="1"/>
  <c r="E1175" i="1"/>
  <c r="I1175" i="1"/>
  <c r="G1178" i="1" l="1"/>
  <c r="F1177" i="1"/>
  <c r="E1176" i="1"/>
  <c r="I1176" i="1"/>
  <c r="G1179" i="1" l="1"/>
  <c r="F1178" i="1"/>
  <c r="E1177" i="1"/>
  <c r="I1177" i="1"/>
  <c r="E1178" i="1" l="1"/>
  <c r="I1178" i="1"/>
  <c r="G1180" i="1"/>
  <c r="F1179" i="1"/>
  <c r="G1181" i="1" l="1"/>
  <c r="F1180" i="1"/>
  <c r="E1179" i="1"/>
  <c r="I1179" i="1"/>
  <c r="G1182" i="1" l="1"/>
  <c r="F1181" i="1"/>
  <c r="E1180" i="1"/>
  <c r="I1180" i="1"/>
  <c r="E1181" i="1" l="1"/>
  <c r="I1181" i="1"/>
  <c r="G1183" i="1"/>
  <c r="F1182" i="1"/>
  <c r="G1184" i="1" l="1"/>
  <c r="F1183" i="1"/>
  <c r="E1182" i="1"/>
  <c r="I1182" i="1"/>
  <c r="E1183" i="1" l="1"/>
  <c r="I1183" i="1"/>
  <c r="G1185" i="1"/>
  <c r="F1184" i="1"/>
  <c r="G1186" i="1" l="1"/>
  <c r="F1185" i="1"/>
  <c r="E1184" i="1"/>
  <c r="I1184" i="1"/>
  <c r="E1185" i="1" l="1"/>
  <c r="I1185" i="1"/>
  <c r="G1187" i="1"/>
  <c r="F1186" i="1"/>
  <c r="E1186" i="1" l="1"/>
  <c r="I1186" i="1"/>
  <c r="G1188" i="1"/>
  <c r="F1187" i="1"/>
  <c r="G1189" i="1" l="1"/>
  <c r="F1188" i="1"/>
  <c r="E1187" i="1"/>
  <c r="I1187" i="1"/>
  <c r="E1188" i="1" l="1"/>
  <c r="I1188" i="1"/>
  <c r="G1190" i="1"/>
  <c r="F1189" i="1"/>
  <c r="E1189" i="1" l="1"/>
  <c r="I1189" i="1"/>
  <c r="G1191" i="1"/>
  <c r="F1190" i="1"/>
  <c r="G1192" i="1" l="1"/>
  <c r="F1191" i="1"/>
  <c r="E1190" i="1"/>
  <c r="I1190" i="1"/>
  <c r="E1191" i="1" l="1"/>
  <c r="I1191" i="1"/>
  <c r="G1193" i="1"/>
  <c r="F1192" i="1"/>
  <c r="E1192" i="1" l="1"/>
  <c r="I1192" i="1"/>
  <c r="G1194" i="1"/>
  <c r="F1193" i="1"/>
  <c r="G1195" i="1" l="1"/>
  <c r="F1194" i="1"/>
  <c r="E1193" i="1"/>
  <c r="I1193" i="1"/>
  <c r="E1194" i="1" l="1"/>
  <c r="I1194" i="1"/>
  <c r="G1196" i="1"/>
  <c r="F1195" i="1"/>
  <c r="G1197" i="1" l="1"/>
  <c r="F1196" i="1"/>
  <c r="E1195" i="1"/>
  <c r="I1195" i="1"/>
  <c r="E1196" i="1" l="1"/>
  <c r="I1196" i="1"/>
  <c r="G1198" i="1"/>
  <c r="F1197" i="1"/>
  <c r="G1199" i="1" l="1"/>
  <c r="F1198" i="1"/>
  <c r="E1197" i="1"/>
  <c r="I1197" i="1"/>
  <c r="E1198" i="1" l="1"/>
  <c r="I1198" i="1"/>
  <c r="G1200" i="1"/>
  <c r="F1199" i="1"/>
  <c r="E1199" i="1" l="1"/>
  <c r="I1199" i="1"/>
  <c r="G1201" i="1"/>
  <c r="F1200" i="1"/>
  <c r="G1202" i="1" l="1"/>
  <c r="F1201" i="1"/>
  <c r="E1200" i="1"/>
  <c r="I1200" i="1"/>
  <c r="E1201" i="1" l="1"/>
  <c r="I1201" i="1"/>
  <c r="G1203" i="1"/>
  <c r="F1202" i="1"/>
  <c r="G1204" i="1" l="1"/>
  <c r="F1203" i="1"/>
  <c r="E1202" i="1"/>
  <c r="I1202" i="1"/>
  <c r="E1203" i="1" l="1"/>
  <c r="I1203" i="1"/>
  <c r="G1205" i="1"/>
  <c r="F1204" i="1"/>
  <c r="G1206" i="1" l="1"/>
  <c r="F1205" i="1"/>
  <c r="E1204" i="1"/>
  <c r="I1204" i="1"/>
  <c r="E1205" i="1" l="1"/>
  <c r="I1205" i="1"/>
  <c r="G1207" i="1"/>
  <c r="F1206" i="1"/>
  <c r="E1206" i="1" l="1"/>
  <c r="I1206" i="1"/>
  <c r="G1208" i="1"/>
  <c r="F1207" i="1"/>
  <c r="G1209" i="1" l="1"/>
  <c r="F1208" i="1"/>
  <c r="E1207" i="1"/>
  <c r="I1207" i="1"/>
  <c r="E1208" i="1" l="1"/>
  <c r="I1208" i="1"/>
  <c r="G1210" i="1"/>
  <c r="F1209" i="1"/>
  <c r="G1211" i="1" l="1"/>
  <c r="F1210" i="1"/>
  <c r="E1209" i="1"/>
  <c r="I1209" i="1"/>
  <c r="E1210" i="1" l="1"/>
  <c r="I1210" i="1"/>
  <c r="G1212" i="1"/>
  <c r="F1211" i="1"/>
  <c r="E1211" i="1" l="1"/>
  <c r="I1211" i="1"/>
  <c r="G1213" i="1"/>
  <c r="F1212" i="1"/>
  <c r="G1214" i="1" l="1"/>
  <c r="F1213" i="1"/>
  <c r="E1212" i="1"/>
  <c r="I1212" i="1"/>
  <c r="E1213" i="1" l="1"/>
  <c r="I1213" i="1"/>
  <c r="G1215" i="1"/>
  <c r="F1214" i="1"/>
  <c r="G1216" i="1" l="1"/>
  <c r="F1215" i="1"/>
  <c r="E1214" i="1"/>
  <c r="I1214" i="1"/>
  <c r="E1215" i="1" l="1"/>
  <c r="I1215" i="1"/>
  <c r="G1217" i="1"/>
  <c r="F1216" i="1"/>
  <c r="G1218" i="1" l="1"/>
  <c r="F1217" i="1"/>
  <c r="E1216" i="1"/>
  <c r="I1216" i="1"/>
  <c r="E1217" i="1" l="1"/>
  <c r="I1217" i="1"/>
  <c r="G1219" i="1"/>
  <c r="F1218" i="1"/>
  <c r="G1220" i="1" l="1"/>
  <c r="F1219" i="1"/>
  <c r="E1218" i="1"/>
  <c r="I1218" i="1"/>
  <c r="E1219" i="1" l="1"/>
  <c r="I1219" i="1"/>
  <c r="G1221" i="1"/>
  <c r="F1220" i="1"/>
  <c r="G1222" i="1" l="1"/>
  <c r="F1221" i="1"/>
  <c r="E1220" i="1"/>
  <c r="I1220" i="1"/>
  <c r="E1221" i="1" l="1"/>
  <c r="I1221" i="1"/>
  <c r="G1223" i="1"/>
  <c r="F1222" i="1"/>
  <c r="G1224" i="1" l="1"/>
  <c r="F1223" i="1"/>
  <c r="E1222" i="1"/>
  <c r="I1222" i="1"/>
  <c r="E1223" i="1" l="1"/>
  <c r="I1223" i="1"/>
  <c r="G1225" i="1"/>
  <c r="F1224" i="1"/>
  <c r="G1226" i="1" l="1"/>
  <c r="F1225" i="1"/>
  <c r="E1224" i="1"/>
  <c r="I1224" i="1"/>
  <c r="E1225" i="1" l="1"/>
  <c r="I1225" i="1"/>
  <c r="G1227" i="1"/>
  <c r="F1226" i="1"/>
  <c r="G1228" i="1" l="1"/>
  <c r="F1227" i="1"/>
  <c r="E1226" i="1"/>
  <c r="I1226" i="1"/>
  <c r="E1227" i="1" l="1"/>
  <c r="I1227" i="1"/>
  <c r="G1229" i="1"/>
  <c r="F1228" i="1"/>
  <c r="G1230" i="1" l="1"/>
  <c r="F1229" i="1"/>
  <c r="E1228" i="1"/>
  <c r="I1228" i="1"/>
  <c r="E1229" i="1" l="1"/>
  <c r="I1229" i="1"/>
  <c r="G1231" i="1"/>
  <c r="F1230" i="1"/>
  <c r="G1232" i="1" l="1"/>
  <c r="F1231" i="1"/>
  <c r="E1230" i="1"/>
  <c r="I1230" i="1"/>
  <c r="E1231" i="1" l="1"/>
  <c r="I1231" i="1"/>
  <c r="G1233" i="1"/>
  <c r="F1232" i="1"/>
  <c r="E1232" i="1" l="1"/>
  <c r="I1232" i="1"/>
  <c r="G1234" i="1"/>
  <c r="F1233" i="1"/>
  <c r="G1235" i="1" l="1"/>
  <c r="F1234" i="1"/>
  <c r="E1233" i="1"/>
  <c r="I1233" i="1"/>
  <c r="E1234" i="1" l="1"/>
  <c r="I1234" i="1"/>
  <c r="G1236" i="1"/>
  <c r="F1235" i="1"/>
  <c r="G1237" i="1" l="1"/>
  <c r="F1236" i="1"/>
  <c r="E1235" i="1"/>
  <c r="I1235" i="1"/>
  <c r="E1236" i="1" l="1"/>
  <c r="I1236" i="1"/>
  <c r="G1238" i="1"/>
  <c r="F1237" i="1"/>
  <c r="G1239" i="1" l="1"/>
  <c r="F1238" i="1"/>
  <c r="E1237" i="1"/>
  <c r="I1237" i="1"/>
  <c r="E1238" i="1" l="1"/>
  <c r="I1238" i="1"/>
  <c r="G1240" i="1"/>
  <c r="F1239" i="1"/>
  <c r="E1239" i="1" l="1"/>
  <c r="I1239" i="1"/>
  <c r="G1241" i="1"/>
  <c r="F1240" i="1"/>
  <c r="G1242" i="1" l="1"/>
  <c r="F1241" i="1"/>
  <c r="E1240" i="1"/>
  <c r="I1240" i="1"/>
  <c r="E1241" i="1" l="1"/>
  <c r="I1241" i="1"/>
  <c r="G1243" i="1"/>
  <c r="F1242" i="1"/>
  <c r="G1244" i="1" l="1"/>
  <c r="F1243" i="1"/>
  <c r="E1242" i="1"/>
  <c r="I1242" i="1"/>
  <c r="E1243" i="1" l="1"/>
  <c r="I1243" i="1"/>
  <c r="G1245" i="1"/>
  <c r="F1244" i="1"/>
  <c r="G1246" i="1" l="1"/>
  <c r="F1245" i="1"/>
  <c r="E1244" i="1"/>
  <c r="I1244" i="1"/>
  <c r="E1245" i="1" l="1"/>
  <c r="I1245" i="1"/>
  <c r="G1247" i="1"/>
  <c r="F1246" i="1"/>
  <c r="G1248" i="1" l="1"/>
  <c r="F1247" i="1"/>
  <c r="E1246" i="1"/>
  <c r="I1246" i="1"/>
  <c r="E1247" i="1" l="1"/>
  <c r="I1247" i="1"/>
  <c r="G1249" i="1"/>
  <c r="F1248" i="1"/>
  <c r="G1250" i="1" l="1"/>
  <c r="F1249" i="1"/>
  <c r="E1248" i="1"/>
  <c r="I1248" i="1"/>
  <c r="E1249" i="1" l="1"/>
  <c r="I1249" i="1"/>
  <c r="G1251" i="1"/>
  <c r="F1250" i="1"/>
  <c r="G1252" i="1" l="1"/>
  <c r="F1251" i="1"/>
  <c r="E1250" i="1"/>
  <c r="I1250" i="1"/>
  <c r="E1251" i="1" l="1"/>
  <c r="I1251" i="1"/>
  <c r="G1253" i="1"/>
  <c r="F1252" i="1"/>
  <c r="G1254" i="1" l="1"/>
  <c r="F1253" i="1"/>
  <c r="E1252" i="1"/>
  <c r="I1252" i="1"/>
  <c r="E1253" i="1" l="1"/>
  <c r="I1253" i="1"/>
  <c r="G1255" i="1"/>
  <c r="F1254" i="1"/>
  <c r="G1256" i="1" l="1"/>
  <c r="F1255" i="1"/>
  <c r="E1254" i="1"/>
  <c r="I1254" i="1"/>
  <c r="E1255" i="1" l="1"/>
  <c r="I1255" i="1"/>
  <c r="G1257" i="1"/>
  <c r="F1256" i="1"/>
  <c r="E1256" i="1" l="1"/>
  <c r="I1256" i="1"/>
  <c r="G1258" i="1"/>
  <c r="F1257" i="1"/>
  <c r="G1259" i="1" l="1"/>
  <c r="F1258" i="1"/>
  <c r="E1257" i="1"/>
  <c r="I1257" i="1"/>
  <c r="E1258" i="1" l="1"/>
  <c r="I1258" i="1"/>
  <c r="G1260" i="1"/>
  <c r="F1259" i="1"/>
  <c r="G1261" i="1" l="1"/>
  <c r="F1260" i="1"/>
  <c r="E1259" i="1"/>
  <c r="I1259" i="1"/>
  <c r="E1260" i="1" l="1"/>
  <c r="I1260" i="1"/>
  <c r="G1262" i="1"/>
  <c r="F1261" i="1"/>
  <c r="E1261" i="1" l="1"/>
  <c r="I1261" i="1"/>
  <c r="G1263" i="1"/>
  <c r="F1262" i="1"/>
  <c r="G1264" i="1" l="1"/>
  <c r="F1263" i="1"/>
  <c r="E1262" i="1"/>
  <c r="I1262" i="1"/>
  <c r="E1263" i="1" l="1"/>
  <c r="I1263" i="1"/>
  <c r="G1265" i="1"/>
  <c r="F1264" i="1"/>
  <c r="E1264" i="1" l="1"/>
  <c r="I1264" i="1"/>
  <c r="G1266" i="1"/>
  <c r="F1265" i="1"/>
  <c r="E1265" i="1" l="1"/>
  <c r="I1265" i="1"/>
  <c r="G1267" i="1"/>
  <c r="F1266" i="1"/>
  <c r="E1266" i="1" l="1"/>
  <c r="I1266" i="1"/>
  <c r="G1268" i="1"/>
  <c r="F1267" i="1"/>
  <c r="G1269" i="1" l="1"/>
  <c r="F1268" i="1"/>
  <c r="E1267" i="1"/>
  <c r="I1267" i="1"/>
  <c r="E1268" i="1" l="1"/>
  <c r="I1268" i="1"/>
  <c r="G1270" i="1"/>
  <c r="F1269" i="1"/>
  <c r="G1271" i="1" l="1"/>
  <c r="F1270" i="1"/>
  <c r="E1269" i="1"/>
  <c r="I1269" i="1"/>
  <c r="E1270" i="1" l="1"/>
  <c r="I1270" i="1"/>
  <c r="G1272" i="1"/>
  <c r="F1271" i="1"/>
  <c r="G1273" i="1" l="1"/>
  <c r="F1272" i="1"/>
  <c r="E1271" i="1"/>
  <c r="I1271" i="1"/>
  <c r="E1272" i="1" l="1"/>
  <c r="I1272" i="1"/>
  <c r="G1274" i="1"/>
  <c r="F1273" i="1"/>
  <c r="E1273" i="1" l="1"/>
  <c r="I1273" i="1"/>
  <c r="G1275" i="1"/>
  <c r="F1274" i="1"/>
  <c r="G1276" i="1" l="1"/>
  <c r="F1275" i="1"/>
  <c r="E1274" i="1"/>
  <c r="I1274" i="1"/>
  <c r="E1275" i="1" l="1"/>
  <c r="I1275" i="1"/>
  <c r="G1277" i="1"/>
  <c r="F1276" i="1"/>
  <c r="E1276" i="1" l="1"/>
  <c r="I1276" i="1"/>
  <c r="G1278" i="1"/>
  <c r="F1277" i="1"/>
  <c r="E1277" i="1" l="1"/>
  <c r="I1277" i="1"/>
  <c r="G1279" i="1"/>
  <c r="F1278" i="1"/>
  <c r="G1280" i="1" l="1"/>
  <c r="F1279" i="1"/>
  <c r="E1278" i="1"/>
  <c r="I1278" i="1"/>
  <c r="E1279" i="1" l="1"/>
  <c r="I1279" i="1"/>
  <c r="G1281" i="1"/>
  <c r="F1280" i="1"/>
  <c r="E1280" i="1" l="1"/>
  <c r="I1280" i="1"/>
  <c r="G1282" i="1"/>
  <c r="F1281" i="1"/>
  <c r="G1283" i="1" l="1"/>
  <c r="F1282" i="1"/>
  <c r="E1281" i="1"/>
  <c r="I1281" i="1"/>
  <c r="E1282" i="1" l="1"/>
  <c r="I1282" i="1"/>
  <c r="G1284" i="1"/>
  <c r="F1283" i="1"/>
  <c r="G1285" i="1" l="1"/>
  <c r="F1284" i="1"/>
  <c r="E1283" i="1"/>
  <c r="I1283" i="1"/>
  <c r="E1284" i="1" l="1"/>
  <c r="I1284" i="1"/>
  <c r="G1286" i="1"/>
  <c r="F1285" i="1"/>
  <c r="G1287" i="1" l="1"/>
  <c r="F1286" i="1"/>
  <c r="E1285" i="1"/>
  <c r="I1285" i="1"/>
  <c r="E1286" i="1" l="1"/>
  <c r="I1286" i="1"/>
  <c r="G1288" i="1"/>
  <c r="F1287" i="1"/>
  <c r="G1289" i="1" l="1"/>
  <c r="F1288" i="1"/>
  <c r="E1287" i="1"/>
  <c r="I1287" i="1"/>
  <c r="E1288" i="1" l="1"/>
  <c r="I1288" i="1"/>
  <c r="G1290" i="1"/>
  <c r="F1289" i="1"/>
  <c r="E1289" i="1" l="1"/>
  <c r="I1289" i="1"/>
  <c r="G1291" i="1"/>
  <c r="F1290" i="1"/>
  <c r="G1292" i="1" l="1"/>
  <c r="F1291" i="1"/>
  <c r="E1290" i="1"/>
  <c r="I1290" i="1"/>
  <c r="E1291" i="1" l="1"/>
  <c r="I1291" i="1"/>
  <c r="G1293" i="1"/>
  <c r="F1292" i="1"/>
  <c r="E1292" i="1" l="1"/>
  <c r="I1292" i="1"/>
  <c r="G1294" i="1"/>
  <c r="F1293" i="1"/>
  <c r="G1295" i="1" l="1"/>
  <c r="F1294" i="1"/>
  <c r="E1293" i="1"/>
  <c r="I1293" i="1"/>
  <c r="E1294" i="1" l="1"/>
  <c r="I1294" i="1"/>
  <c r="G1296" i="1"/>
  <c r="F1295" i="1"/>
  <c r="E1295" i="1" l="1"/>
  <c r="I1295" i="1"/>
  <c r="G1297" i="1"/>
  <c r="F1296" i="1"/>
  <c r="G1298" i="1" l="1"/>
  <c r="F1297" i="1"/>
  <c r="E1296" i="1"/>
  <c r="I1296" i="1"/>
  <c r="E1297" i="1" l="1"/>
  <c r="I1297" i="1"/>
  <c r="G1299" i="1"/>
  <c r="F1298" i="1"/>
  <c r="E1298" i="1" l="1"/>
  <c r="I1298" i="1"/>
  <c r="G1300" i="1"/>
  <c r="F1299" i="1"/>
  <c r="G1301" i="1" l="1"/>
  <c r="F1300" i="1"/>
  <c r="E1299" i="1"/>
  <c r="I1299" i="1"/>
  <c r="E1300" i="1" l="1"/>
  <c r="I1300" i="1"/>
  <c r="G1302" i="1"/>
  <c r="F1301" i="1"/>
  <c r="E1301" i="1" l="1"/>
  <c r="I1301" i="1"/>
  <c r="G1303" i="1"/>
  <c r="F1302" i="1"/>
  <c r="G1304" i="1" l="1"/>
  <c r="F1303" i="1"/>
  <c r="E1302" i="1"/>
  <c r="I1302" i="1"/>
  <c r="E1303" i="1" l="1"/>
  <c r="I1303" i="1"/>
  <c r="G1305" i="1"/>
  <c r="F1304" i="1"/>
  <c r="G1306" i="1" l="1"/>
  <c r="F1305" i="1"/>
  <c r="E1304" i="1"/>
  <c r="I1304" i="1"/>
  <c r="E1305" i="1" l="1"/>
  <c r="I1305" i="1"/>
  <c r="G1307" i="1"/>
  <c r="F1306" i="1"/>
  <c r="E1306" i="1" l="1"/>
  <c r="I1306" i="1"/>
  <c r="G1308" i="1"/>
  <c r="F1307" i="1"/>
  <c r="G1309" i="1" l="1"/>
  <c r="F1308" i="1"/>
  <c r="E1307" i="1"/>
  <c r="I1307" i="1"/>
  <c r="E1308" i="1" l="1"/>
  <c r="I1308" i="1"/>
  <c r="G1310" i="1"/>
  <c r="F1309" i="1"/>
  <c r="G1311" i="1" l="1"/>
  <c r="F1310" i="1"/>
  <c r="E1309" i="1"/>
  <c r="I1309" i="1"/>
  <c r="E1310" i="1" l="1"/>
  <c r="I1310" i="1"/>
  <c r="G1312" i="1"/>
  <c r="F1311" i="1"/>
  <c r="G1313" i="1" l="1"/>
  <c r="F1312" i="1"/>
  <c r="E1311" i="1"/>
  <c r="I1311" i="1"/>
  <c r="E1312" i="1" l="1"/>
  <c r="I1312" i="1"/>
  <c r="G1314" i="1"/>
  <c r="F1313" i="1"/>
  <c r="G1315" i="1" l="1"/>
  <c r="F1314" i="1"/>
  <c r="E1313" i="1"/>
  <c r="I1313" i="1"/>
  <c r="E1314" i="1" l="1"/>
  <c r="I1314" i="1"/>
  <c r="G1316" i="1"/>
  <c r="F1315" i="1"/>
  <c r="E1315" i="1" l="1"/>
  <c r="I1315" i="1"/>
  <c r="G1317" i="1"/>
  <c r="F1316" i="1"/>
  <c r="G1318" i="1" l="1"/>
  <c r="F1317" i="1"/>
  <c r="E1316" i="1"/>
  <c r="I1316" i="1"/>
  <c r="E1317" i="1" l="1"/>
  <c r="I1317" i="1"/>
  <c r="G1319" i="1"/>
  <c r="F1318" i="1"/>
  <c r="E1318" i="1" l="1"/>
  <c r="I1318" i="1"/>
  <c r="G1320" i="1"/>
  <c r="F1319" i="1"/>
  <c r="G1321" i="1" l="1"/>
  <c r="F1320" i="1"/>
  <c r="E1319" i="1"/>
  <c r="I1319" i="1"/>
  <c r="E1320" i="1" l="1"/>
  <c r="I1320" i="1"/>
  <c r="G1322" i="1"/>
  <c r="F1321" i="1"/>
  <c r="G1323" i="1" l="1"/>
  <c r="F1322" i="1"/>
  <c r="E1321" i="1"/>
  <c r="I1321" i="1"/>
  <c r="E1322" i="1" l="1"/>
  <c r="I1322" i="1"/>
  <c r="G1324" i="1"/>
  <c r="F1323" i="1"/>
  <c r="E1323" i="1" l="1"/>
  <c r="I1323" i="1"/>
  <c r="G1325" i="1"/>
  <c r="F1324" i="1"/>
  <c r="G1326" i="1" l="1"/>
  <c r="F1325" i="1"/>
  <c r="E1324" i="1"/>
  <c r="I1324" i="1"/>
  <c r="E1325" i="1" l="1"/>
  <c r="I1325" i="1"/>
  <c r="G1327" i="1"/>
  <c r="F1326" i="1"/>
  <c r="G1328" i="1" l="1"/>
  <c r="F1327" i="1"/>
  <c r="E1326" i="1"/>
  <c r="I1326" i="1"/>
  <c r="E1327" i="1" l="1"/>
  <c r="I1327" i="1"/>
  <c r="G1329" i="1"/>
  <c r="F1328" i="1"/>
  <c r="G1330" i="1" l="1"/>
  <c r="F1329" i="1"/>
  <c r="E1328" i="1"/>
  <c r="I1328" i="1"/>
  <c r="E1329" i="1" l="1"/>
  <c r="I1329" i="1"/>
  <c r="G1331" i="1"/>
  <c r="F1330" i="1"/>
  <c r="G1332" i="1" l="1"/>
  <c r="F1331" i="1"/>
  <c r="E1330" i="1"/>
  <c r="I1330" i="1"/>
  <c r="E1331" i="1" l="1"/>
  <c r="I1331" i="1"/>
  <c r="G1333" i="1"/>
  <c r="F1332" i="1"/>
  <c r="G1334" i="1" l="1"/>
  <c r="F1333" i="1"/>
  <c r="E1332" i="1"/>
  <c r="I1332" i="1"/>
  <c r="E1333" i="1" l="1"/>
  <c r="I1333" i="1"/>
  <c r="G1335" i="1"/>
  <c r="F1334" i="1"/>
  <c r="G1336" i="1" l="1"/>
  <c r="F1335" i="1"/>
  <c r="E1334" i="1"/>
  <c r="I1334" i="1"/>
  <c r="E1335" i="1" l="1"/>
  <c r="I1335" i="1"/>
  <c r="G1337" i="1"/>
  <c r="F1336" i="1"/>
  <c r="G1338" i="1" l="1"/>
  <c r="F1337" i="1"/>
  <c r="E1336" i="1"/>
  <c r="I1336" i="1"/>
  <c r="E1337" i="1" l="1"/>
  <c r="I1337" i="1"/>
  <c r="G1339" i="1"/>
  <c r="F1338" i="1"/>
  <c r="G1340" i="1" l="1"/>
  <c r="F1339" i="1"/>
  <c r="E1338" i="1"/>
  <c r="I1338" i="1"/>
  <c r="E1339" i="1" l="1"/>
  <c r="I1339" i="1"/>
  <c r="G1341" i="1"/>
  <c r="F1340" i="1"/>
  <c r="G1342" i="1" l="1"/>
  <c r="F1341" i="1"/>
  <c r="E1340" i="1"/>
  <c r="I1340" i="1"/>
  <c r="E1341" i="1" l="1"/>
  <c r="I1341" i="1"/>
  <c r="G1343" i="1"/>
  <c r="F1342" i="1"/>
  <c r="E1342" i="1" l="1"/>
  <c r="I1342" i="1"/>
  <c r="G1344" i="1"/>
  <c r="F1343" i="1"/>
  <c r="G1345" i="1" l="1"/>
  <c r="F1344" i="1"/>
  <c r="E1343" i="1"/>
  <c r="I1343" i="1"/>
  <c r="E1344" i="1" l="1"/>
  <c r="I1344" i="1"/>
  <c r="G1346" i="1"/>
  <c r="F1345" i="1"/>
  <c r="G1347" i="1" l="1"/>
  <c r="F1346" i="1"/>
  <c r="E1345" i="1"/>
  <c r="I1345" i="1"/>
  <c r="G1348" i="1" l="1"/>
  <c r="F1347" i="1"/>
  <c r="E1346" i="1"/>
  <c r="I1346" i="1"/>
  <c r="E1347" i="1" l="1"/>
  <c r="I1347" i="1"/>
  <c r="G1349" i="1"/>
  <c r="F1348" i="1"/>
  <c r="G1350" i="1" l="1"/>
  <c r="F1349" i="1"/>
  <c r="E1348" i="1"/>
  <c r="I1348" i="1"/>
  <c r="G1351" i="1" l="1"/>
  <c r="F1350" i="1"/>
  <c r="E1349" i="1"/>
  <c r="I1349" i="1"/>
  <c r="E1350" i="1" l="1"/>
  <c r="I1350" i="1"/>
  <c r="G1352" i="1"/>
  <c r="F1351" i="1"/>
  <c r="G1353" i="1" l="1"/>
  <c r="F1352" i="1"/>
  <c r="E1351" i="1"/>
  <c r="I1351" i="1"/>
  <c r="E1352" i="1" l="1"/>
  <c r="I1352" i="1"/>
  <c r="G1354" i="1"/>
  <c r="F1353" i="1"/>
  <c r="G1355" i="1" l="1"/>
  <c r="F1354" i="1"/>
  <c r="E1353" i="1"/>
  <c r="I1353" i="1"/>
  <c r="E1354" i="1" l="1"/>
  <c r="I1354" i="1"/>
  <c r="G1356" i="1"/>
  <c r="F1355" i="1"/>
  <c r="G1357" i="1" l="1"/>
  <c r="F1356" i="1"/>
  <c r="E1355" i="1"/>
  <c r="I1355" i="1"/>
  <c r="E1356" i="1" l="1"/>
  <c r="I1356" i="1"/>
  <c r="G1358" i="1"/>
  <c r="F1357" i="1"/>
  <c r="G1359" i="1" l="1"/>
  <c r="F1358" i="1"/>
  <c r="E1357" i="1"/>
  <c r="I1357" i="1"/>
  <c r="E1358" i="1" l="1"/>
  <c r="I1358" i="1"/>
  <c r="G1360" i="1"/>
  <c r="F1359" i="1"/>
  <c r="G1361" i="1" l="1"/>
  <c r="F1360" i="1"/>
  <c r="E1359" i="1"/>
  <c r="I1359" i="1"/>
  <c r="G1362" i="1" l="1"/>
  <c r="F1361" i="1"/>
  <c r="E1360" i="1"/>
  <c r="I1360" i="1"/>
  <c r="E1361" i="1" l="1"/>
  <c r="I1361" i="1"/>
  <c r="G1363" i="1"/>
  <c r="F1362" i="1"/>
  <c r="G1364" i="1" l="1"/>
  <c r="F1363" i="1"/>
  <c r="E1362" i="1"/>
  <c r="I1362" i="1"/>
  <c r="E1363" i="1" l="1"/>
  <c r="I1363" i="1"/>
  <c r="G1365" i="1"/>
  <c r="F1364" i="1"/>
  <c r="G1366" i="1" l="1"/>
  <c r="F1365" i="1"/>
  <c r="E1364" i="1"/>
  <c r="I1364" i="1"/>
  <c r="E1365" i="1" l="1"/>
  <c r="I1365" i="1"/>
  <c r="G1367" i="1"/>
  <c r="F1366" i="1"/>
  <c r="G1368" i="1" l="1"/>
  <c r="F1367" i="1"/>
  <c r="E1366" i="1"/>
  <c r="I1366" i="1"/>
  <c r="E1367" i="1" l="1"/>
  <c r="I1367" i="1"/>
  <c r="G1369" i="1"/>
  <c r="F1368" i="1"/>
  <c r="G1370" i="1" l="1"/>
  <c r="F1369" i="1"/>
  <c r="E1368" i="1"/>
  <c r="I1368" i="1"/>
  <c r="E1369" i="1" l="1"/>
  <c r="I1369" i="1"/>
  <c r="G1371" i="1"/>
  <c r="F1370" i="1"/>
  <c r="G1372" i="1" l="1"/>
  <c r="F1371" i="1"/>
  <c r="E1370" i="1"/>
  <c r="I1370" i="1"/>
  <c r="E1371" i="1" l="1"/>
  <c r="I1371" i="1"/>
  <c r="G1373" i="1"/>
  <c r="F1372" i="1"/>
  <c r="G1374" i="1" l="1"/>
  <c r="F1373" i="1"/>
  <c r="E1372" i="1"/>
  <c r="I1372" i="1"/>
  <c r="G1375" i="1" l="1"/>
  <c r="F1374" i="1"/>
  <c r="E1373" i="1"/>
  <c r="I1373" i="1"/>
  <c r="E1374" i="1" l="1"/>
  <c r="I1374" i="1"/>
  <c r="G1376" i="1"/>
  <c r="F1375" i="1"/>
  <c r="E1375" i="1" l="1"/>
  <c r="I1375" i="1"/>
  <c r="G1377" i="1"/>
  <c r="F1376" i="1"/>
  <c r="G1378" i="1" l="1"/>
  <c r="F1377" i="1"/>
  <c r="E1376" i="1"/>
  <c r="I1376" i="1"/>
  <c r="E1377" i="1" l="1"/>
  <c r="I1377" i="1"/>
  <c r="G1379" i="1"/>
  <c r="F1378" i="1"/>
  <c r="G1380" i="1" l="1"/>
  <c r="F1379" i="1"/>
  <c r="E1378" i="1"/>
  <c r="I1378" i="1"/>
  <c r="E1379" i="1" l="1"/>
  <c r="I1379" i="1"/>
  <c r="G1381" i="1"/>
  <c r="F1380" i="1"/>
  <c r="G1382" i="1" l="1"/>
  <c r="F1381" i="1"/>
  <c r="E1380" i="1"/>
  <c r="I1380" i="1"/>
  <c r="E1381" i="1" l="1"/>
  <c r="I1381" i="1"/>
  <c r="G1383" i="1"/>
  <c r="F1382" i="1"/>
  <c r="E1382" i="1" l="1"/>
  <c r="I1382" i="1"/>
  <c r="G1384" i="1"/>
  <c r="F1383" i="1"/>
  <c r="E1383" i="1" l="1"/>
  <c r="I1383" i="1"/>
  <c r="G1385" i="1"/>
  <c r="F1384" i="1"/>
  <c r="G1386" i="1" l="1"/>
  <c r="F1385" i="1"/>
  <c r="E1384" i="1"/>
  <c r="I1384" i="1"/>
  <c r="E1385" i="1" l="1"/>
  <c r="I1385" i="1"/>
  <c r="G1387" i="1"/>
  <c r="F1386" i="1"/>
  <c r="E1386" i="1" l="1"/>
  <c r="I1386" i="1"/>
  <c r="G1388" i="1"/>
  <c r="F1387" i="1"/>
  <c r="G1389" i="1" l="1"/>
  <c r="F1388" i="1"/>
  <c r="E1387" i="1"/>
  <c r="I1387" i="1"/>
  <c r="G1390" i="1" l="1"/>
  <c r="F1389" i="1"/>
  <c r="E1388" i="1"/>
  <c r="I1388" i="1"/>
  <c r="G1391" i="1" l="1"/>
  <c r="F1390" i="1"/>
  <c r="E1389" i="1"/>
  <c r="I1389" i="1"/>
  <c r="G1392" i="1" l="1"/>
  <c r="F1391" i="1"/>
  <c r="E1390" i="1"/>
  <c r="I1390" i="1"/>
  <c r="G1393" i="1" l="1"/>
  <c r="F1392" i="1"/>
  <c r="E1391" i="1"/>
  <c r="I1391" i="1"/>
  <c r="E1392" i="1" l="1"/>
  <c r="I1392" i="1"/>
  <c r="G1394" i="1"/>
  <c r="F1393" i="1"/>
  <c r="G1395" i="1" l="1"/>
  <c r="F1394" i="1"/>
  <c r="E1393" i="1"/>
  <c r="I1393" i="1"/>
  <c r="G1396" i="1" l="1"/>
  <c r="F1395" i="1"/>
  <c r="E1394" i="1"/>
  <c r="I1394" i="1"/>
  <c r="E1395" i="1" l="1"/>
  <c r="I1395" i="1"/>
  <c r="G1397" i="1"/>
  <c r="F1396" i="1"/>
  <c r="G1398" i="1" l="1"/>
  <c r="F1397" i="1"/>
  <c r="E1396" i="1"/>
  <c r="I1396" i="1"/>
  <c r="E1397" i="1" l="1"/>
  <c r="I1397" i="1"/>
  <c r="G1399" i="1"/>
  <c r="F1398" i="1"/>
  <c r="G1400" i="1" l="1"/>
  <c r="F1399" i="1"/>
  <c r="E1398" i="1"/>
  <c r="I1398" i="1"/>
  <c r="E1399" i="1" l="1"/>
  <c r="I1399" i="1"/>
  <c r="G1401" i="1"/>
  <c r="F1400" i="1"/>
  <c r="E1400" i="1" l="1"/>
  <c r="I1400" i="1"/>
  <c r="G1402" i="1"/>
  <c r="F1401" i="1"/>
  <c r="E1401" i="1" l="1"/>
  <c r="I1401" i="1"/>
  <c r="G1403" i="1"/>
  <c r="F1402" i="1"/>
  <c r="E1402" i="1" l="1"/>
  <c r="I1402" i="1"/>
  <c r="G1404" i="1"/>
  <c r="F1403" i="1"/>
  <c r="E1403" i="1" l="1"/>
  <c r="I1403" i="1"/>
  <c r="G1405" i="1"/>
  <c r="F1404" i="1"/>
  <c r="E1404" i="1" l="1"/>
  <c r="I1404" i="1"/>
  <c r="G1406" i="1"/>
  <c r="F1405" i="1"/>
  <c r="E1405" i="1" l="1"/>
  <c r="I1405" i="1"/>
  <c r="G1407" i="1"/>
  <c r="F1406" i="1"/>
  <c r="E1406" i="1" l="1"/>
  <c r="I1406" i="1"/>
  <c r="G1408" i="1"/>
  <c r="F1407" i="1"/>
  <c r="E1407" i="1" l="1"/>
  <c r="I1407" i="1"/>
  <c r="G1409" i="1"/>
  <c r="F1408" i="1"/>
  <c r="G1410" i="1" l="1"/>
  <c r="F1409" i="1"/>
  <c r="E1408" i="1"/>
  <c r="I1408" i="1"/>
  <c r="E1409" i="1" l="1"/>
  <c r="I1409" i="1"/>
  <c r="G1411" i="1"/>
  <c r="F1410" i="1"/>
  <c r="E1410" i="1" l="1"/>
  <c r="I1410" i="1"/>
  <c r="G1412" i="1"/>
  <c r="F1411" i="1"/>
  <c r="G1413" i="1" l="1"/>
  <c r="F1412" i="1"/>
  <c r="E1411" i="1"/>
  <c r="I1411" i="1"/>
  <c r="E1412" i="1" l="1"/>
  <c r="I1412" i="1"/>
  <c r="G1414" i="1"/>
  <c r="F1413" i="1"/>
  <c r="E1413" i="1" l="1"/>
  <c r="I1413" i="1"/>
  <c r="G1415" i="1"/>
  <c r="F1414" i="1"/>
  <c r="E1414" i="1" l="1"/>
  <c r="I1414" i="1"/>
  <c r="G1416" i="1"/>
  <c r="F1415" i="1"/>
  <c r="E1415" i="1" l="1"/>
  <c r="I1415" i="1"/>
  <c r="G1417" i="1"/>
  <c r="F1416" i="1"/>
  <c r="G1418" i="1" l="1"/>
  <c r="F1417" i="1"/>
  <c r="E1416" i="1"/>
  <c r="I1416" i="1"/>
  <c r="E1417" i="1" l="1"/>
  <c r="I1417" i="1"/>
  <c r="G1419" i="1"/>
  <c r="F1418" i="1"/>
  <c r="E1418" i="1" l="1"/>
  <c r="I1418" i="1"/>
  <c r="G1420" i="1"/>
  <c r="F1419" i="1"/>
  <c r="G1421" i="1" l="1"/>
  <c r="F1420" i="1"/>
  <c r="E1419" i="1"/>
  <c r="I1419" i="1"/>
  <c r="G1422" i="1" l="1"/>
  <c r="F1421" i="1"/>
  <c r="E1420" i="1"/>
  <c r="I1420" i="1"/>
  <c r="E1421" i="1" l="1"/>
  <c r="I1421" i="1"/>
  <c r="G1423" i="1"/>
  <c r="F1422" i="1"/>
  <c r="E1422" i="1" l="1"/>
  <c r="I1422" i="1"/>
  <c r="G1424" i="1"/>
  <c r="F1423" i="1"/>
  <c r="E1423" i="1" l="1"/>
  <c r="I1423" i="1"/>
  <c r="G1425" i="1"/>
  <c r="F1424" i="1"/>
  <c r="E1424" i="1" l="1"/>
  <c r="I1424" i="1"/>
  <c r="G1426" i="1"/>
  <c r="F1425" i="1"/>
  <c r="E1425" i="1" l="1"/>
  <c r="I1425" i="1"/>
  <c r="G1427" i="1"/>
  <c r="F1426" i="1"/>
  <c r="E1426" i="1" l="1"/>
  <c r="I1426" i="1"/>
  <c r="G1428" i="1"/>
  <c r="F1427" i="1"/>
  <c r="G1429" i="1" l="1"/>
  <c r="F1428" i="1"/>
  <c r="E1427" i="1"/>
  <c r="I1427" i="1"/>
  <c r="E1428" i="1" l="1"/>
  <c r="I1428" i="1"/>
  <c r="G1430" i="1"/>
  <c r="F1429" i="1"/>
  <c r="E1429" i="1" l="1"/>
  <c r="I1429" i="1"/>
  <c r="G1431" i="1"/>
  <c r="F1430" i="1"/>
  <c r="G1432" i="1" l="1"/>
  <c r="F1431" i="1"/>
  <c r="E1430" i="1"/>
  <c r="I1430" i="1"/>
  <c r="E1431" i="1" l="1"/>
  <c r="I1431" i="1"/>
  <c r="G1433" i="1"/>
  <c r="F1432" i="1"/>
  <c r="E1432" i="1" l="1"/>
  <c r="I1432" i="1"/>
  <c r="G1434" i="1"/>
  <c r="F1433" i="1"/>
  <c r="G1435" i="1" l="1"/>
  <c r="F1434" i="1"/>
  <c r="E1433" i="1"/>
  <c r="I1433" i="1"/>
  <c r="E1434" i="1" l="1"/>
  <c r="I1434" i="1"/>
  <c r="G1436" i="1"/>
  <c r="F1435" i="1"/>
  <c r="E1435" i="1" l="1"/>
  <c r="I1435" i="1"/>
  <c r="G1437" i="1"/>
  <c r="F1436" i="1"/>
  <c r="E1436" i="1" l="1"/>
  <c r="I1436" i="1"/>
  <c r="G1438" i="1"/>
  <c r="F1437" i="1"/>
  <c r="E1437" i="1" l="1"/>
  <c r="I1437" i="1"/>
  <c r="G1439" i="1"/>
  <c r="F1438" i="1"/>
  <c r="E1438" i="1" l="1"/>
  <c r="I1438" i="1"/>
  <c r="G1440" i="1"/>
  <c r="F1439" i="1"/>
  <c r="E1439" i="1" l="1"/>
  <c r="I1439" i="1"/>
  <c r="G1441" i="1"/>
  <c r="F1440" i="1"/>
  <c r="E1440" i="1" l="1"/>
  <c r="I1440" i="1"/>
  <c r="G1442" i="1"/>
  <c r="F1441" i="1"/>
  <c r="E1441" i="1" l="1"/>
  <c r="I1441" i="1"/>
  <c r="G1443" i="1"/>
  <c r="F1442" i="1"/>
  <c r="G1444" i="1" l="1"/>
  <c r="F1443" i="1"/>
  <c r="E1442" i="1"/>
  <c r="I1442" i="1"/>
  <c r="G1445" i="1" l="1"/>
  <c r="F1444" i="1"/>
  <c r="E1443" i="1"/>
  <c r="I1443" i="1"/>
  <c r="G1446" i="1" l="1"/>
  <c r="F1445" i="1"/>
  <c r="E1444" i="1"/>
  <c r="I1444" i="1"/>
  <c r="E1445" i="1" l="1"/>
  <c r="I1445" i="1"/>
  <c r="G1447" i="1"/>
  <c r="F1446" i="1"/>
  <c r="G1448" i="1" l="1"/>
  <c r="F1447" i="1"/>
  <c r="E1446" i="1"/>
  <c r="I1446" i="1"/>
  <c r="E1447" i="1" l="1"/>
  <c r="I1447" i="1"/>
  <c r="G1449" i="1"/>
  <c r="F1448" i="1"/>
  <c r="E1448" i="1" l="1"/>
  <c r="I1448" i="1"/>
  <c r="G1450" i="1"/>
  <c r="F1449" i="1"/>
  <c r="E1449" i="1" l="1"/>
  <c r="I1449" i="1"/>
  <c r="G1451" i="1"/>
  <c r="F1450" i="1"/>
  <c r="E1450" i="1" l="1"/>
  <c r="I1450" i="1"/>
  <c r="G1452" i="1"/>
  <c r="F1451" i="1"/>
  <c r="E1451" i="1" l="1"/>
  <c r="I1451" i="1"/>
  <c r="G1453" i="1"/>
  <c r="F1452" i="1"/>
  <c r="E1452" i="1" l="1"/>
  <c r="I1452" i="1"/>
  <c r="G1454" i="1"/>
  <c r="F1453" i="1"/>
  <c r="E1453" i="1" l="1"/>
  <c r="I1453" i="1"/>
  <c r="G1455" i="1"/>
  <c r="F1454" i="1"/>
  <c r="G1456" i="1" l="1"/>
  <c r="F1455" i="1"/>
  <c r="E1454" i="1"/>
  <c r="I1454" i="1"/>
  <c r="E1455" i="1" l="1"/>
  <c r="I1455" i="1"/>
  <c r="G1457" i="1"/>
  <c r="F1456" i="1"/>
  <c r="E1456" i="1" l="1"/>
  <c r="I1456" i="1"/>
  <c r="G1458" i="1"/>
  <c r="F1457" i="1"/>
  <c r="E1457" i="1" l="1"/>
  <c r="I1457" i="1"/>
  <c r="G1459" i="1"/>
  <c r="F1458" i="1"/>
  <c r="E1458" i="1" l="1"/>
  <c r="I1458" i="1"/>
  <c r="G1460" i="1"/>
  <c r="F1459" i="1"/>
  <c r="E1459" i="1" l="1"/>
  <c r="I1459" i="1"/>
  <c r="G1461" i="1"/>
  <c r="F1460" i="1"/>
  <c r="E1460" i="1" l="1"/>
  <c r="I1460" i="1"/>
  <c r="G1462" i="1"/>
  <c r="F1461" i="1"/>
  <c r="G1463" i="1" l="1"/>
  <c r="F1462" i="1"/>
  <c r="E1461" i="1"/>
  <c r="I1461" i="1"/>
  <c r="E1462" i="1" l="1"/>
  <c r="I1462" i="1"/>
  <c r="G1464" i="1"/>
  <c r="F1463" i="1"/>
  <c r="G1465" i="1" l="1"/>
  <c r="F1464" i="1"/>
  <c r="E1463" i="1"/>
  <c r="I1463" i="1"/>
  <c r="E1464" i="1" l="1"/>
  <c r="I1464" i="1"/>
  <c r="G1466" i="1"/>
  <c r="F1465" i="1"/>
  <c r="E1465" i="1" l="1"/>
  <c r="I1465" i="1"/>
  <c r="G1467" i="1"/>
  <c r="F1466" i="1"/>
  <c r="E1466" i="1" l="1"/>
  <c r="I1466" i="1"/>
  <c r="G1468" i="1"/>
  <c r="F1467" i="1"/>
  <c r="E1467" i="1" l="1"/>
  <c r="I1467" i="1"/>
  <c r="G1469" i="1"/>
  <c r="F1468" i="1"/>
  <c r="E1468" i="1" l="1"/>
  <c r="I1468" i="1"/>
  <c r="G1470" i="1"/>
  <c r="F1469" i="1"/>
  <c r="E1469" i="1" l="1"/>
  <c r="I1469" i="1"/>
  <c r="G1471" i="1"/>
  <c r="F1470" i="1"/>
  <c r="G1472" i="1" l="1"/>
  <c r="F1471" i="1"/>
  <c r="E1470" i="1"/>
  <c r="I1470" i="1"/>
  <c r="E1471" i="1" l="1"/>
  <c r="I1471" i="1"/>
  <c r="G1473" i="1"/>
  <c r="F1472" i="1"/>
  <c r="G1474" i="1" l="1"/>
  <c r="F1473" i="1"/>
  <c r="E1472" i="1"/>
  <c r="I1472" i="1"/>
  <c r="E1473" i="1" l="1"/>
  <c r="I1473" i="1"/>
  <c r="G1475" i="1"/>
  <c r="F1474" i="1"/>
  <c r="G1476" i="1" l="1"/>
  <c r="F1475" i="1"/>
  <c r="E1474" i="1"/>
  <c r="I1474" i="1"/>
  <c r="E1475" i="1" l="1"/>
  <c r="I1475" i="1"/>
  <c r="G1477" i="1"/>
  <c r="F1476" i="1"/>
  <c r="G1478" i="1" l="1"/>
  <c r="F1477" i="1"/>
  <c r="E1476" i="1"/>
  <c r="I1476" i="1"/>
  <c r="E1477" i="1" l="1"/>
  <c r="I1477" i="1"/>
  <c r="G1479" i="1"/>
  <c r="F1478" i="1"/>
  <c r="G1480" i="1" l="1"/>
  <c r="F1479" i="1"/>
  <c r="E1478" i="1"/>
  <c r="I1478" i="1"/>
  <c r="E1479" i="1" l="1"/>
  <c r="I1479" i="1"/>
  <c r="G1481" i="1"/>
  <c r="F1480" i="1"/>
  <c r="G1482" i="1" l="1"/>
  <c r="F1481" i="1"/>
  <c r="E1480" i="1"/>
  <c r="I1480" i="1"/>
  <c r="E1481" i="1" l="1"/>
  <c r="I1481" i="1"/>
  <c r="G1483" i="1"/>
  <c r="F1482" i="1"/>
  <c r="G1484" i="1" l="1"/>
  <c r="F1483" i="1"/>
  <c r="E1482" i="1"/>
  <c r="I1482" i="1"/>
  <c r="E1483" i="1" l="1"/>
  <c r="I1483" i="1"/>
  <c r="G1485" i="1"/>
  <c r="F1484" i="1"/>
  <c r="G1486" i="1" l="1"/>
  <c r="F1485" i="1"/>
  <c r="E1484" i="1"/>
  <c r="I1484" i="1"/>
  <c r="E1485" i="1" l="1"/>
  <c r="I1485" i="1"/>
  <c r="G1487" i="1"/>
  <c r="F1486" i="1"/>
  <c r="G1488" i="1" l="1"/>
  <c r="F1487" i="1"/>
  <c r="E1486" i="1"/>
  <c r="I1486" i="1"/>
  <c r="E1487" i="1" l="1"/>
  <c r="I1487" i="1"/>
  <c r="G1489" i="1"/>
  <c r="F1488" i="1"/>
  <c r="G1490" i="1" l="1"/>
  <c r="F1489" i="1"/>
  <c r="E1488" i="1"/>
  <c r="I1488" i="1"/>
  <c r="E1489" i="1" l="1"/>
  <c r="I1489" i="1"/>
  <c r="G1491" i="1"/>
  <c r="F1490" i="1"/>
  <c r="G1492" i="1" l="1"/>
  <c r="F1491" i="1"/>
  <c r="E1490" i="1"/>
  <c r="I1490" i="1"/>
  <c r="E1491" i="1" l="1"/>
  <c r="I1491" i="1"/>
  <c r="G1493" i="1"/>
  <c r="F1492" i="1"/>
  <c r="G1494" i="1" l="1"/>
  <c r="F1493" i="1"/>
  <c r="E1492" i="1"/>
  <c r="I1492" i="1"/>
  <c r="E1493" i="1" l="1"/>
  <c r="I1493" i="1"/>
  <c r="G1495" i="1"/>
  <c r="F1494" i="1"/>
  <c r="G1496" i="1" l="1"/>
  <c r="F1495" i="1"/>
  <c r="E1494" i="1"/>
  <c r="I1494" i="1"/>
  <c r="E1495" i="1" l="1"/>
  <c r="I1495" i="1"/>
  <c r="G1497" i="1"/>
  <c r="F1496" i="1"/>
  <c r="G1498" i="1" l="1"/>
  <c r="F1497" i="1"/>
  <c r="E1496" i="1"/>
  <c r="I1496" i="1"/>
  <c r="E1497" i="1" l="1"/>
  <c r="I1497" i="1"/>
  <c r="G1499" i="1"/>
  <c r="F1498" i="1"/>
  <c r="E1498" i="1" l="1"/>
  <c r="I1498" i="1"/>
  <c r="G1500" i="1"/>
  <c r="F1499" i="1"/>
  <c r="E1499" i="1" l="1"/>
  <c r="I1499" i="1"/>
  <c r="G1501" i="1"/>
  <c r="F1500" i="1"/>
  <c r="G1502" i="1" l="1"/>
  <c r="F1501" i="1"/>
  <c r="E1500" i="1"/>
  <c r="I1500" i="1"/>
  <c r="E1501" i="1" l="1"/>
  <c r="I1501" i="1"/>
  <c r="G1503" i="1"/>
  <c r="F1502" i="1"/>
  <c r="G1504" i="1" l="1"/>
  <c r="F1503" i="1"/>
  <c r="E1502" i="1"/>
  <c r="I1502" i="1"/>
  <c r="E1503" i="1" l="1"/>
  <c r="I1503" i="1"/>
  <c r="G1505" i="1"/>
  <c r="F1504" i="1"/>
  <c r="G1506" i="1" l="1"/>
  <c r="F1505" i="1"/>
  <c r="E1504" i="1"/>
  <c r="I1504" i="1"/>
  <c r="E1505" i="1" l="1"/>
  <c r="I1505" i="1"/>
  <c r="G1507" i="1"/>
  <c r="F1506" i="1"/>
  <c r="G1508" i="1" l="1"/>
  <c r="F1507" i="1"/>
  <c r="E1506" i="1"/>
  <c r="I1506" i="1"/>
  <c r="E1507" i="1" l="1"/>
  <c r="I1507" i="1"/>
  <c r="G1509" i="1"/>
  <c r="F1508" i="1"/>
  <c r="E1508" i="1" l="1"/>
  <c r="I1508" i="1"/>
  <c r="G1510" i="1"/>
  <c r="F1509" i="1"/>
  <c r="G1511" i="1" l="1"/>
  <c r="F1510" i="1"/>
  <c r="E1509" i="1"/>
  <c r="I1509" i="1"/>
  <c r="E1510" i="1" l="1"/>
  <c r="I1510" i="1"/>
  <c r="G1512" i="1"/>
  <c r="F1511" i="1"/>
  <c r="E1511" i="1" l="1"/>
  <c r="I1511" i="1"/>
  <c r="G1513" i="1"/>
  <c r="F1512" i="1"/>
  <c r="E1512" i="1" l="1"/>
  <c r="I1512" i="1"/>
  <c r="G1514" i="1"/>
  <c r="F1513" i="1"/>
  <c r="G1515" i="1" l="1"/>
  <c r="F1514" i="1"/>
  <c r="E1513" i="1"/>
  <c r="I1513" i="1"/>
  <c r="E1514" i="1" l="1"/>
  <c r="I1514" i="1"/>
  <c r="G1516" i="1"/>
  <c r="F1515" i="1"/>
  <c r="G1517" i="1" l="1"/>
  <c r="F1516" i="1"/>
  <c r="E1515" i="1"/>
  <c r="I1515" i="1"/>
  <c r="E1516" i="1" l="1"/>
  <c r="I1516" i="1"/>
  <c r="G1518" i="1"/>
  <c r="F1517" i="1"/>
  <c r="G1519" i="1" l="1"/>
  <c r="F1518" i="1"/>
  <c r="E1517" i="1"/>
  <c r="I1517" i="1"/>
  <c r="E1518" i="1" l="1"/>
  <c r="I1518" i="1"/>
  <c r="G1520" i="1"/>
  <c r="F1519" i="1"/>
  <c r="G1521" i="1" l="1"/>
  <c r="F1520" i="1"/>
  <c r="E1519" i="1"/>
  <c r="I1519" i="1"/>
  <c r="E1520" i="1" l="1"/>
  <c r="I1520" i="1"/>
  <c r="G1522" i="1"/>
  <c r="F1521" i="1"/>
  <c r="G1523" i="1" l="1"/>
  <c r="F1522" i="1"/>
  <c r="E1521" i="1"/>
  <c r="I1521" i="1"/>
  <c r="E1522" i="1" l="1"/>
  <c r="I1522" i="1"/>
  <c r="G1524" i="1"/>
  <c r="F1523" i="1"/>
  <c r="E1523" i="1" l="1"/>
  <c r="I1523" i="1"/>
  <c r="G1525" i="1"/>
  <c r="F1524" i="1"/>
  <c r="G1526" i="1" l="1"/>
  <c r="F1525" i="1"/>
  <c r="E1524" i="1"/>
  <c r="I1524" i="1"/>
  <c r="E1525" i="1" l="1"/>
  <c r="I1525" i="1"/>
  <c r="G1527" i="1"/>
  <c r="F1526" i="1"/>
  <c r="E1526" i="1" l="1"/>
  <c r="I1526" i="1"/>
  <c r="G1528" i="1"/>
  <c r="F1527" i="1"/>
  <c r="G1529" i="1" l="1"/>
  <c r="F1528" i="1"/>
  <c r="E1527" i="1"/>
  <c r="I1527" i="1"/>
  <c r="E1528" i="1" l="1"/>
  <c r="I1528" i="1"/>
  <c r="G1530" i="1"/>
  <c r="F1529" i="1"/>
  <c r="E1529" i="1" l="1"/>
  <c r="I1529" i="1"/>
  <c r="G1531" i="1"/>
  <c r="F1530" i="1"/>
  <c r="G1532" i="1" l="1"/>
  <c r="F1531" i="1"/>
  <c r="E1530" i="1"/>
  <c r="I1530" i="1"/>
  <c r="E1531" i="1" l="1"/>
  <c r="I1531" i="1"/>
  <c r="G1533" i="1"/>
  <c r="F1532" i="1"/>
  <c r="E1532" i="1" l="1"/>
  <c r="I1532" i="1"/>
  <c r="G1534" i="1"/>
  <c r="F1533" i="1"/>
  <c r="E1533" i="1" l="1"/>
  <c r="I1533" i="1"/>
  <c r="G1535" i="1"/>
  <c r="F1534" i="1"/>
  <c r="G1536" i="1" l="1"/>
  <c r="F1535" i="1"/>
  <c r="E1534" i="1"/>
  <c r="I1534" i="1"/>
  <c r="E1535" i="1" l="1"/>
  <c r="I1535" i="1"/>
  <c r="G1537" i="1"/>
  <c r="F1536" i="1"/>
  <c r="G1538" i="1" l="1"/>
  <c r="F1537" i="1"/>
  <c r="E1536" i="1"/>
  <c r="I1536" i="1"/>
  <c r="E1537" i="1" l="1"/>
  <c r="I1537" i="1"/>
  <c r="G1539" i="1"/>
  <c r="F1538" i="1"/>
  <c r="G1540" i="1" l="1"/>
  <c r="F1539" i="1"/>
  <c r="E1538" i="1"/>
  <c r="I1538" i="1"/>
  <c r="E1539" i="1" l="1"/>
  <c r="I1539" i="1"/>
  <c r="G1541" i="1"/>
  <c r="F1540" i="1"/>
  <c r="E1540" i="1" l="1"/>
  <c r="I1540" i="1"/>
  <c r="G1542" i="1"/>
  <c r="F1541" i="1"/>
  <c r="E1541" i="1" l="1"/>
  <c r="I1541" i="1"/>
  <c r="G1543" i="1"/>
  <c r="F1542" i="1"/>
  <c r="G1544" i="1" l="1"/>
  <c r="F1543" i="1"/>
  <c r="E1542" i="1"/>
  <c r="I1542" i="1"/>
  <c r="E1543" i="1" l="1"/>
  <c r="I1543" i="1"/>
  <c r="G1545" i="1"/>
  <c r="F1544" i="1"/>
  <c r="G1546" i="1" l="1"/>
  <c r="F1545" i="1"/>
  <c r="E1544" i="1"/>
  <c r="I1544" i="1"/>
  <c r="E1545" i="1" l="1"/>
  <c r="I1545" i="1"/>
  <c r="G1547" i="1"/>
  <c r="F1546" i="1"/>
  <c r="G1548" i="1" l="1"/>
  <c r="F1547" i="1"/>
  <c r="E1546" i="1"/>
  <c r="I1546" i="1"/>
  <c r="E1547" i="1" l="1"/>
  <c r="I1547" i="1"/>
  <c r="G1549" i="1"/>
  <c r="F1548" i="1"/>
  <c r="G1550" i="1" l="1"/>
  <c r="F1549" i="1"/>
  <c r="E1548" i="1"/>
  <c r="I1548" i="1"/>
  <c r="E1549" i="1" l="1"/>
  <c r="I1549" i="1"/>
  <c r="G1551" i="1"/>
  <c r="F1550" i="1"/>
  <c r="G1552" i="1" l="1"/>
  <c r="F1551" i="1"/>
  <c r="E1550" i="1"/>
  <c r="I1550" i="1"/>
  <c r="E1551" i="1" l="1"/>
  <c r="I1551" i="1"/>
  <c r="G1553" i="1"/>
  <c r="F1552" i="1"/>
  <c r="G1554" i="1" l="1"/>
  <c r="F1553" i="1"/>
  <c r="E1552" i="1"/>
  <c r="I1552" i="1"/>
  <c r="E1553" i="1" l="1"/>
  <c r="I1553" i="1"/>
  <c r="G1555" i="1"/>
  <c r="F1554" i="1"/>
  <c r="G1556" i="1" l="1"/>
  <c r="F1555" i="1"/>
  <c r="E1554" i="1"/>
  <c r="I1554" i="1"/>
  <c r="E1555" i="1" l="1"/>
  <c r="I1555" i="1"/>
  <c r="G1557" i="1"/>
  <c r="F1556" i="1"/>
  <c r="G1558" i="1" l="1"/>
  <c r="F1557" i="1"/>
  <c r="E1556" i="1"/>
  <c r="I1556" i="1"/>
  <c r="E1557" i="1" l="1"/>
  <c r="I1557" i="1"/>
  <c r="G1559" i="1"/>
  <c r="F1558" i="1"/>
  <c r="G1560" i="1" l="1"/>
  <c r="F1559" i="1"/>
  <c r="E1558" i="1"/>
  <c r="I1558" i="1"/>
  <c r="E1559" i="1" l="1"/>
  <c r="I1559" i="1"/>
  <c r="G1561" i="1"/>
  <c r="F1560" i="1"/>
  <c r="E1560" i="1" l="1"/>
  <c r="I1560" i="1"/>
  <c r="G1562" i="1"/>
  <c r="F1561" i="1"/>
  <c r="E1561" i="1" l="1"/>
  <c r="I1561" i="1"/>
  <c r="G1563" i="1"/>
  <c r="F1562" i="1"/>
  <c r="G1564" i="1" l="1"/>
  <c r="F1563" i="1"/>
  <c r="E1562" i="1"/>
  <c r="I1562" i="1"/>
  <c r="E1563" i="1" l="1"/>
  <c r="I1563" i="1"/>
  <c r="G1565" i="1"/>
  <c r="F1564" i="1"/>
  <c r="G1566" i="1" l="1"/>
  <c r="F1565" i="1"/>
  <c r="E1564" i="1"/>
  <c r="I1564" i="1"/>
  <c r="E1565" i="1" l="1"/>
  <c r="I1565" i="1"/>
  <c r="G1567" i="1"/>
  <c r="F1566" i="1"/>
  <c r="E1566" i="1" l="1"/>
  <c r="I1566" i="1"/>
  <c r="G1568" i="1"/>
  <c r="F1567" i="1"/>
  <c r="G1569" i="1" l="1"/>
  <c r="F1568" i="1"/>
  <c r="E1567" i="1"/>
  <c r="I1567" i="1"/>
  <c r="E1568" i="1" l="1"/>
  <c r="I1568" i="1"/>
  <c r="G1570" i="1"/>
  <c r="F1569" i="1"/>
  <c r="G1571" i="1" l="1"/>
  <c r="F1570" i="1"/>
  <c r="E1569" i="1"/>
  <c r="I1569" i="1"/>
  <c r="E1570" i="1" l="1"/>
  <c r="I1570" i="1"/>
  <c r="G1572" i="1"/>
  <c r="F1571" i="1"/>
  <c r="G1573" i="1" l="1"/>
  <c r="F1572" i="1"/>
  <c r="E1571" i="1"/>
  <c r="I1571" i="1"/>
  <c r="E1572" i="1" l="1"/>
  <c r="I1572" i="1"/>
  <c r="G1574" i="1"/>
  <c r="F1573" i="1"/>
  <c r="G1575" i="1" l="1"/>
  <c r="F1574" i="1"/>
  <c r="E1573" i="1"/>
  <c r="I1573" i="1"/>
  <c r="E1574" i="1" l="1"/>
  <c r="I1574" i="1"/>
  <c r="G1576" i="1"/>
  <c r="F1575" i="1"/>
  <c r="G1577" i="1" l="1"/>
  <c r="F1576" i="1"/>
  <c r="E1575" i="1"/>
  <c r="I1575" i="1"/>
  <c r="E1576" i="1" l="1"/>
  <c r="I1576" i="1"/>
  <c r="G1578" i="1"/>
  <c r="F1577" i="1"/>
  <c r="G1579" i="1" l="1"/>
  <c r="F1578" i="1"/>
  <c r="E1577" i="1"/>
  <c r="I1577" i="1"/>
  <c r="E1578" i="1" l="1"/>
  <c r="I1578" i="1"/>
  <c r="G1580" i="1"/>
  <c r="F1579" i="1"/>
  <c r="E1579" i="1" l="1"/>
  <c r="I1579" i="1"/>
  <c r="G1581" i="1"/>
  <c r="F1580" i="1"/>
  <c r="E1580" i="1" l="1"/>
  <c r="I1580" i="1"/>
  <c r="G1582" i="1"/>
  <c r="F1581" i="1"/>
  <c r="E1581" i="1" l="1"/>
  <c r="I1581" i="1"/>
  <c r="G1583" i="1"/>
  <c r="F1582" i="1"/>
  <c r="E1582" i="1" l="1"/>
  <c r="I1582" i="1"/>
  <c r="G1584" i="1"/>
  <c r="F1583" i="1"/>
  <c r="G1585" i="1" l="1"/>
  <c r="F1584" i="1"/>
  <c r="E1583" i="1"/>
  <c r="I1583" i="1"/>
  <c r="E1584" i="1" l="1"/>
  <c r="I1584" i="1"/>
  <c r="G1586" i="1"/>
  <c r="F1585" i="1"/>
  <c r="G1587" i="1" l="1"/>
  <c r="F1586" i="1"/>
  <c r="E1585" i="1"/>
  <c r="I1585" i="1"/>
  <c r="E1586" i="1" l="1"/>
  <c r="I1586" i="1"/>
  <c r="G1588" i="1"/>
  <c r="F1587" i="1"/>
  <c r="G1589" i="1" l="1"/>
  <c r="F1588" i="1"/>
  <c r="E1587" i="1"/>
  <c r="I1587" i="1"/>
  <c r="E1588" i="1" l="1"/>
  <c r="I1588" i="1"/>
  <c r="G1590" i="1"/>
  <c r="F1589" i="1"/>
  <c r="E1589" i="1" l="1"/>
  <c r="I1589" i="1"/>
  <c r="G1591" i="1"/>
  <c r="F1590" i="1"/>
  <c r="G1592" i="1" l="1"/>
  <c r="F1591" i="1"/>
  <c r="E1590" i="1"/>
  <c r="I1590" i="1"/>
  <c r="E1591" i="1" l="1"/>
  <c r="I1591" i="1"/>
  <c r="G1593" i="1"/>
  <c r="F1592" i="1"/>
  <c r="E1592" i="1" l="1"/>
  <c r="I1592" i="1"/>
  <c r="G1594" i="1"/>
  <c r="F1593" i="1"/>
  <c r="G1595" i="1" l="1"/>
  <c r="F1594" i="1"/>
  <c r="E1593" i="1"/>
  <c r="I1593" i="1"/>
  <c r="E1594" i="1" l="1"/>
  <c r="I1594" i="1"/>
  <c r="G1596" i="1"/>
  <c r="F1595" i="1"/>
  <c r="E1595" i="1" l="1"/>
  <c r="I1595" i="1"/>
  <c r="G1597" i="1"/>
  <c r="F1596" i="1"/>
  <c r="E1596" i="1" l="1"/>
  <c r="I1596" i="1"/>
  <c r="G1598" i="1"/>
  <c r="F1597" i="1"/>
  <c r="G1599" i="1" l="1"/>
  <c r="F1598" i="1"/>
  <c r="E1597" i="1"/>
  <c r="I1597" i="1"/>
  <c r="E1598" i="1" l="1"/>
  <c r="I1598" i="1"/>
  <c r="G1600" i="1"/>
  <c r="F1599" i="1"/>
  <c r="E1599" i="1" l="1"/>
  <c r="I1599" i="1"/>
  <c r="G1601" i="1"/>
  <c r="F1600" i="1"/>
  <c r="E1600" i="1" l="1"/>
  <c r="I1600" i="1"/>
  <c r="G1602" i="1"/>
  <c r="F1601" i="1"/>
  <c r="G1603" i="1" l="1"/>
  <c r="F1602" i="1"/>
  <c r="E1601" i="1"/>
  <c r="I1601" i="1"/>
  <c r="E1602" i="1" l="1"/>
  <c r="I1602" i="1"/>
  <c r="G1604" i="1"/>
  <c r="F1603" i="1"/>
  <c r="G1605" i="1" l="1"/>
  <c r="F1604" i="1"/>
  <c r="E1603" i="1"/>
  <c r="I1603" i="1"/>
  <c r="E1604" i="1" l="1"/>
  <c r="I1604" i="1"/>
  <c r="G1606" i="1"/>
  <c r="F1605" i="1"/>
  <c r="G1607" i="1" l="1"/>
  <c r="F1606" i="1"/>
  <c r="E1605" i="1"/>
  <c r="I1605" i="1"/>
  <c r="E1606" i="1" l="1"/>
  <c r="I1606" i="1"/>
  <c r="G1608" i="1"/>
  <c r="F1607" i="1"/>
  <c r="G1609" i="1" l="1"/>
  <c r="F1608" i="1"/>
  <c r="E1607" i="1"/>
  <c r="I1607" i="1"/>
  <c r="E1608" i="1" l="1"/>
  <c r="I1608" i="1"/>
  <c r="G1610" i="1"/>
  <c r="F1609" i="1"/>
  <c r="G1611" i="1" l="1"/>
  <c r="F1610" i="1"/>
  <c r="E1609" i="1"/>
  <c r="I1609" i="1"/>
  <c r="E1610" i="1" l="1"/>
  <c r="I1610" i="1"/>
  <c r="G1612" i="1"/>
  <c r="F1611" i="1"/>
  <c r="E1611" i="1" l="1"/>
  <c r="I1611" i="1"/>
  <c r="G1613" i="1"/>
  <c r="F1612" i="1"/>
  <c r="E1612" i="1" l="1"/>
  <c r="I1612" i="1"/>
  <c r="G1614" i="1"/>
  <c r="F1613" i="1"/>
  <c r="G1615" i="1" l="1"/>
  <c r="F1614" i="1"/>
  <c r="E1613" i="1"/>
  <c r="I1613" i="1"/>
  <c r="E1614" i="1" l="1"/>
  <c r="I1614" i="1"/>
  <c r="G1616" i="1"/>
  <c r="F1615" i="1"/>
  <c r="G1617" i="1" l="1"/>
  <c r="F1616" i="1"/>
  <c r="E1615" i="1"/>
  <c r="I1615" i="1"/>
  <c r="E1616" i="1" l="1"/>
  <c r="I1616" i="1"/>
  <c r="G1618" i="1"/>
  <c r="F1617" i="1"/>
  <c r="G1619" i="1" l="1"/>
  <c r="F1618" i="1"/>
  <c r="E1617" i="1"/>
  <c r="I1617" i="1"/>
  <c r="E1618" i="1" l="1"/>
  <c r="I1618" i="1"/>
  <c r="G1620" i="1"/>
  <c r="F1619" i="1"/>
  <c r="G1621" i="1" l="1"/>
  <c r="F1620" i="1"/>
  <c r="E1619" i="1"/>
  <c r="I1619" i="1"/>
  <c r="E1620" i="1" l="1"/>
  <c r="I1620" i="1"/>
  <c r="G1622" i="1"/>
  <c r="F1621" i="1"/>
  <c r="G1623" i="1" l="1"/>
  <c r="F1622" i="1"/>
  <c r="E1621" i="1"/>
  <c r="I1621" i="1"/>
  <c r="E1622" i="1" l="1"/>
  <c r="I1622" i="1"/>
  <c r="G1624" i="1"/>
  <c r="F1623" i="1"/>
  <c r="E1623" i="1" l="1"/>
  <c r="I1623" i="1"/>
  <c r="G1625" i="1"/>
  <c r="F1624" i="1"/>
  <c r="G1626" i="1" l="1"/>
  <c r="F1625" i="1"/>
  <c r="E1624" i="1"/>
  <c r="I1624" i="1"/>
  <c r="E1625" i="1" l="1"/>
  <c r="I1625" i="1"/>
  <c r="G1627" i="1"/>
  <c r="F1626" i="1"/>
  <c r="G1628" i="1" l="1"/>
  <c r="F1627" i="1"/>
  <c r="E1626" i="1"/>
  <c r="I1626" i="1"/>
  <c r="E1627" i="1" l="1"/>
  <c r="I1627" i="1"/>
  <c r="G1629" i="1"/>
  <c r="F1628" i="1"/>
  <c r="G1630" i="1" l="1"/>
  <c r="F1629" i="1"/>
  <c r="E1628" i="1"/>
  <c r="I1628" i="1"/>
  <c r="E1629" i="1" l="1"/>
  <c r="I1629" i="1"/>
  <c r="G1631" i="1"/>
  <c r="F1630" i="1"/>
  <c r="E1630" i="1" l="1"/>
  <c r="I1630" i="1"/>
  <c r="G1632" i="1"/>
  <c r="F1631" i="1"/>
  <c r="G1633" i="1" l="1"/>
  <c r="F1632" i="1"/>
  <c r="E1631" i="1"/>
  <c r="I1631" i="1"/>
  <c r="E1632" i="1" l="1"/>
  <c r="I1632" i="1"/>
  <c r="G1634" i="1"/>
  <c r="F1633" i="1"/>
  <c r="G1635" i="1" l="1"/>
  <c r="F1634" i="1"/>
  <c r="E1633" i="1"/>
  <c r="I1633" i="1"/>
  <c r="E1634" i="1" l="1"/>
  <c r="I1634" i="1"/>
  <c r="G1636" i="1"/>
  <c r="F1635" i="1"/>
  <c r="G1637" i="1" l="1"/>
  <c r="F1636" i="1"/>
  <c r="E1635" i="1"/>
  <c r="I1635" i="1"/>
  <c r="E1636" i="1" l="1"/>
  <c r="I1636" i="1"/>
  <c r="G1638" i="1"/>
  <c r="F1637" i="1"/>
  <c r="E1637" i="1" l="1"/>
  <c r="I1637" i="1"/>
  <c r="G1639" i="1"/>
  <c r="F1638" i="1"/>
  <c r="G1640" i="1" l="1"/>
  <c r="F1639" i="1"/>
  <c r="E1638" i="1"/>
  <c r="I1638" i="1"/>
  <c r="E1639" i="1" l="1"/>
  <c r="I1639" i="1"/>
  <c r="G1641" i="1"/>
  <c r="F1640" i="1"/>
  <c r="G1642" i="1" l="1"/>
  <c r="F1641" i="1"/>
  <c r="E1640" i="1"/>
  <c r="I1640" i="1"/>
  <c r="E1641" i="1" l="1"/>
  <c r="I1641" i="1"/>
  <c r="G1643" i="1"/>
  <c r="F1642" i="1"/>
  <c r="G1644" i="1" l="1"/>
  <c r="F1643" i="1"/>
  <c r="E1642" i="1"/>
  <c r="I1642" i="1"/>
  <c r="E1643" i="1" l="1"/>
  <c r="I1643" i="1"/>
  <c r="G1645" i="1"/>
  <c r="F1644" i="1"/>
  <c r="G1646" i="1" l="1"/>
  <c r="F1645" i="1"/>
  <c r="E1644" i="1"/>
  <c r="I1644" i="1"/>
  <c r="E1645" i="1" l="1"/>
  <c r="I1645" i="1"/>
  <c r="G1647" i="1"/>
  <c r="F1646" i="1"/>
  <c r="G1648" i="1" l="1"/>
  <c r="F1647" i="1"/>
  <c r="E1646" i="1"/>
  <c r="I1646" i="1"/>
  <c r="E1647" i="1" l="1"/>
  <c r="I1647" i="1"/>
  <c r="G1649" i="1"/>
  <c r="F1648" i="1"/>
  <c r="G1650" i="1" l="1"/>
  <c r="F1649" i="1"/>
  <c r="E1648" i="1"/>
  <c r="I1648" i="1"/>
  <c r="E1649" i="1" l="1"/>
  <c r="I1649" i="1"/>
  <c r="G1651" i="1"/>
  <c r="F1650" i="1"/>
  <c r="G1652" i="1" l="1"/>
  <c r="F1651" i="1"/>
  <c r="E1650" i="1"/>
  <c r="I1650" i="1"/>
  <c r="E1651" i="1" l="1"/>
  <c r="I1651" i="1"/>
  <c r="G1653" i="1"/>
  <c r="F1652" i="1"/>
  <c r="E1652" i="1" l="1"/>
  <c r="I1652" i="1"/>
  <c r="G1654" i="1"/>
  <c r="F1653" i="1"/>
  <c r="G1655" i="1" l="1"/>
  <c r="F1654" i="1"/>
  <c r="E1653" i="1"/>
  <c r="I1653" i="1"/>
  <c r="E1654" i="1" l="1"/>
  <c r="I1654" i="1"/>
  <c r="G1656" i="1"/>
  <c r="F1655" i="1"/>
  <c r="E1655" i="1" l="1"/>
  <c r="I1655" i="1"/>
  <c r="G1657" i="1"/>
  <c r="F1656" i="1"/>
  <c r="G1658" i="1" l="1"/>
  <c r="F1657" i="1"/>
  <c r="E1656" i="1"/>
  <c r="I1656" i="1"/>
  <c r="E1657" i="1" l="1"/>
  <c r="I1657" i="1"/>
  <c r="G1659" i="1"/>
  <c r="F1658" i="1"/>
  <c r="E1658" i="1" l="1"/>
  <c r="I1658" i="1"/>
  <c r="G1660" i="1"/>
  <c r="F1659" i="1"/>
  <c r="G1661" i="1" l="1"/>
  <c r="F1660" i="1"/>
  <c r="E1659" i="1"/>
  <c r="I1659" i="1"/>
  <c r="E1660" i="1" l="1"/>
  <c r="I1660" i="1"/>
  <c r="G1662" i="1"/>
  <c r="F1661" i="1"/>
  <c r="E1661" i="1" l="1"/>
  <c r="I1661" i="1"/>
  <c r="G1663" i="1"/>
  <c r="F1662" i="1"/>
  <c r="G1664" i="1" l="1"/>
  <c r="F1663" i="1"/>
  <c r="E1662" i="1"/>
  <c r="I1662" i="1"/>
  <c r="E1663" i="1" l="1"/>
  <c r="I1663" i="1"/>
  <c r="G1665" i="1"/>
  <c r="F1664" i="1"/>
  <c r="E1664" i="1" l="1"/>
  <c r="I1664" i="1"/>
  <c r="G1666" i="1"/>
  <c r="F1665" i="1"/>
  <c r="E1665" i="1" l="1"/>
  <c r="I1665" i="1"/>
  <c r="G1667" i="1"/>
  <c r="F1666" i="1"/>
  <c r="G1668" i="1" l="1"/>
  <c r="F1667" i="1"/>
  <c r="E1666" i="1"/>
  <c r="I1666" i="1"/>
  <c r="E1667" i="1" l="1"/>
  <c r="I1667" i="1"/>
  <c r="G1669" i="1"/>
  <c r="F1668" i="1"/>
  <c r="G1670" i="1" l="1"/>
  <c r="F1669" i="1"/>
  <c r="E1668" i="1"/>
  <c r="I1668" i="1"/>
  <c r="E1669" i="1" l="1"/>
  <c r="I1669" i="1"/>
  <c r="G1671" i="1"/>
  <c r="F1670" i="1"/>
  <c r="G1672" i="1" l="1"/>
  <c r="F1671" i="1"/>
  <c r="E1670" i="1"/>
  <c r="I1670" i="1"/>
  <c r="E1671" i="1" l="1"/>
  <c r="I1671" i="1"/>
  <c r="G1673" i="1"/>
  <c r="F1672" i="1"/>
  <c r="G1674" i="1" l="1"/>
  <c r="F1673" i="1"/>
  <c r="E1672" i="1"/>
  <c r="I1672" i="1"/>
  <c r="E1673" i="1" l="1"/>
  <c r="I1673" i="1"/>
  <c r="G1675" i="1"/>
  <c r="F1674" i="1"/>
  <c r="E1674" i="1" l="1"/>
  <c r="I1674" i="1"/>
  <c r="G1676" i="1"/>
  <c r="F1675" i="1"/>
  <c r="E1675" i="1" l="1"/>
  <c r="I1675" i="1"/>
  <c r="G1677" i="1"/>
  <c r="F1676" i="1"/>
  <c r="G1678" i="1" l="1"/>
  <c r="F1677" i="1"/>
  <c r="E1676" i="1"/>
  <c r="I1676" i="1"/>
  <c r="E1677" i="1" l="1"/>
  <c r="I1677" i="1"/>
  <c r="G1679" i="1"/>
  <c r="F1678" i="1"/>
  <c r="E1678" i="1" l="1"/>
  <c r="I1678" i="1"/>
  <c r="G1680" i="1"/>
  <c r="F1679" i="1"/>
  <c r="E1679" i="1" l="1"/>
  <c r="I1679" i="1"/>
  <c r="G1681" i="1"/>
  <c r="F1680" i="1"/>
  <c r="E1680" i="1" l="1"/>
  <c r="I1680" i="1"/>
  <c r="G1682" i="1"/>
  <c r="F1681" i="1"/>
  <c r="E1681" i="1" l="1"/>
  <c r="I1681" i="1"/>
  <c r="G1683" i="1"/>
  <c r="F1682" i="1"/>
  <c r="E1682" i="1" l="1"/>
  <c r="I1682" i="1"/>
  <c r="G1684" i="1"/>
  <c r="F1683" i="1"/>
  <c r="E1683" i="1" l="1"/>
  <c r="I1683" i="1"/>
  <c r="G1685" i="1"/>
  <c r="F1684" i="1"/>
  <c r="E1684" i="1" l="1"/>
  <c r="I1684" i="1"/>
  <c r="G1686" i="1"/>
  <c r="F1685" i="1"/>
  <c r="G1687" i="1" l="1"/>
  <c r="F1686" i="1"/>
  <c r="E1685" i="1"/>
  <c r="I1685" i="1"/>
  <c r="G1688" i="1" l="1"/>
  <c r="F1687" i="1"/>
  <c r="E1686" i="1"/>
  <c r="I1686" i="1"/>
  <c r="E1687" i="1" l="1"/>
  <c r="I1687" i="1"/>
  <c r="G1689" i="1"/>
  <c r="F1688" i="1"/>
  <c r="E1688" i="1" l="1"/>
  <c r="I1688" i="1"/>
  <c r="G1690" i="1"/>
  <c r="F1689" i="1"/>
  <c r="G1691" i="1" l="1"/>
  <c r="F1690" i="1"/>
  <c r="E1689" i="1"/>
  <c r="I1689" i="1"/>
  <c r="E1690" i="1" l="1"/>
  <c r="I1690" i="1"/>
  <c r="G1692" i="1"/>
  <c r="F1691" i="1"/>
  <c r="E1691" i="1" l="1"/>
  <c r="I1691" i="1"/>
  <c r="G1693" i="1"/>
  <c r="F1692" i="1"/>
  <c r="G1694" i="1" l="1"/>
  <c r="F1693" i="1"/>
  <c r="E1692" i="1"/>
  <c r="I1692" i="1"/>
  <c r="E1693" i="1" l="1"/>
  <c r="I1693" i="1"/>
  <c r="G1695" i="1"/>
  <c r="F1694" i="1"/>
  <c r="G1696" i="1" l="1"/>
  <c r="F1695" i="1"/>
  <c r="E1694" i="1"/>
  <c r="I1694" i="1"/>
  <c r="E1695" i="1" l="1"/>
  <c r="I1695" i="1"/>
  <c r="G1697" i="1"/>
  <c r="F1696" i="1"/>
  <c r="E1696" i="1" l="1"/>
  <c r="I1696" i="1"/>
  <c r="G1698" i="1"/>
  <c r="F1697" i="1"/>
  <c r="G1699" i="1" l="1"/>
  <c r="F1698" i="1"/>
  <c r="E1697" i="1"/>
  <c r="I1697" i="1"/>
  <c r="E1698" i="1" l="1"/>
  <c r="I1698" i="1"/>
  <c r="G1700" i="1"/>
  <c r="F1699" i="1"/>
  <c r="G1701" i="1" l="1"/>
  <c r="F1700" i="1"/>
  <c r="E1699" i="1"/>
  <c r="I1699" i="1"/>
  <c r="G1702" i="1" l="1"/>
  <c r="F1701" i="1"/>
  <c r="E1700" i="1"/>
  <c r="I1700" i="1"/>
  <c r="E1701" i="1" l="1"/>
  <c r="I1701" i="1"/>
  <c r="G1703" i="1"/>
  <c r="F1702" i="1"/>
  <c r="G1704" i="1" l="1"/>
  <c r="F1703" i="1"/>
  <c r="E1702" i="1"/>
  <c r="I1702" i="1"/>
  <c r="E1703" i="1" l="1"/>
  <c r="I1703" i="1"/>
  <c r="G1705" i="1"/>
  <c r="F1704" i="1"/>
  <c r="G1706" i="1" l="1"/>
  <c r="F1705" i="1"/>
  <c r="E1704" i="1"/>
  <c r="I1704" i="1"/>
  <c r="E1705" i="1" l="1"/>
  <c r="I1705" i="1"/>
  <c r="G1707" i="1"/>
  <c r="F1706" i="1"/>
  <c r="E1706" i="1" l="1"/>
  <c r="I1706" i="1"/>
  <c r="G1708" i="1"/>
  <c r="F1707" i="1"/>
  <c r="G1709" i="1" l="1"/>
  <c r="F1708" i="1"/>
  <c r="E1707" i="1"/>
  <c r="I1707" i="1"/>
  <c r="E1708" i="1" l="1"/>
  <c r="I1708" i="1"/>
  <c r="G1710" i="1"/>
  <c r="F1709" i="1"/>
  <c r="E1709" i="1" l="1"/>
  <c r="I1709" i="1"/>
  <c r="G1711" i="1"/>
  <c r="F1710" i="1"/>
  <c r="E1710" i="1" l="1"/>
  <c r="I1710" i="1"/>
  <c r="G1712" i="1"/>
  <c r="F1711" i="1"/>
  <c r="G1713" i="1" l="1"/>
  <c r="F1712" i="1"/>
  <c r="E1711" i="1"/>
  <c r="I1711" i="1"/>
  <c r="E1712" i="1" l="1"/>
  <c r="I1712" i="1"/>
  <c r="G1714" i="1"/>
  <c r="F1713" i="1"/>
  <c r="E1713" i="1" l="1"/>
  <c r="I1713" i="1"/>
  <c r="G1715" i="1"/>
  <c r="F1714" i="1"/>
  <c r="E1714" i="1" l="1"/>
  <c r="I1714" i="1"/>
  <c r="G1716" i="1"/>
  <c r="F1715" i="1"/>
  <c r="E1715" i="1" l="1"/>
  <c r="I1715" i="1"/>
  <c r="G1717" i="1"/>
  <c r="F1716" i="1"/>
  <c r="E1716" i="1" l="1"/>
  <c r="I1716" i="1"/>
  <c r="G1718" i="1"/>
  <c r="F1717" i="1"/>
  <c r="E1717" i="1" l="1"/>
  <c r="I1717" i="1"/>
  <c r="G1719" i="1"/>
  <c r="F1718" i="1"/>
  <c r="G1720" i="1" l="1"/>
  <c r="F1719" i="1"/>
  <c r="E1718" i="1"/>
  <c r="I1718" i="1"/>
  <c r="E1719" i="1" l="1"/>
  <c r="I1719" i="1"/>
  <c r="G1721" i="1"/>
  <c r="F1720" i="1"/>
  <c r="E1720" i="1" l="1"/>
  <c r="I1720" i="1"/>
  <c r="G1722" i="1"/>
  <c r="F1721" i="1"/>
  <c r="G1723" i="1" l="1"/>
  <c r="F1722" i="1"/>
  <c r="E1721" i="1"/>
  <c r="I1721" i="1"/>
  <c r="E1722" i="1" l="1"/>
  <c r="I1722" i="1"/>
  <c r="G1724" i="1"/>
  <c r="F1723" i="1"/>
  <c r="G1725" i="1" l="1"/>
  <c r="F1724" i="1"/>
  <c r="E1723" i="1"/>
  <c r="I1723" i="1"/>
  <c r="E1724" i="1" l="1"/>
  <c r="I1724" i="1"/>
  <c r="G1726" i="1"/>
  <c r="F1725" i="1"/>
  <c r="E1725" i="1" l="1"/>
  <c r="I1725" i="1"/>
  <c r="G1727" i="1"/>
  <c r="F1726" i="1"/>
  <c r="E1726" i="1" l="1"/>
  <c r="I1726" i="1"/>
  <c r="G1728" i="1"/>
  <c r="F1727" i="1"/>
  <c r="G1729" i="1" l="1"/>
  <c r="F1728" i="1"/>
  <c r="E1727" i="1"/>
  <c r="I1727" i="1"/>
  <c r="E1728" i="1" l="1"/>
  <c r="I1728" i="1"/>
  <c r="G1730" i="1"/>
  <c r="F1729" i="1"/>
  <c r="G1731" i="1" l="1"/>
  <c r="F1730" i="1"/>
  <c r="E1729" i="1"/>
  <c r="I1729" i="1"/>
  <c r="E1730" i="1" l="1"/>
  <c r="I1730" i="1"/>
  <c r="G1732" i="1"/>
  <c r="F1731" i="1"/>
  <c r="G1733" i="1" l="1"/>
  <c r="F1732" i="1"/>
  <c r="E1731" i="1"/>
  <c r="I1731" i="1"/>
  <c r="G1734" i="1" l="1"/>
  <c r="F1733" i="1"/>
  <c r="E1732" i="1"/>
  <c r="I1732" i="1"/>
  <c r="E1733" i="1" l="1"/>
  <c r="I1733" i="1"/>
  <c r="G1735" i="1"/>
  <c r="F1734" i="1"/>
  <c r="E1734" i="1" l="1"/>
  <c r="I1734" i="1"/>
  <c r="G1736" i="1"/>
  <c r="F1735" i="1"/>
  <c r="E1735" i="1" l="1"/>
  <c r="I1735" i="1"/>
  <c r="G1737" i="1"/>
  <c r="F1736" i="1"/>
  <c r="E1736" i="1" l="1"/>
  <c r="I1736" i="1"/>
  <c r="G1738" i="1"/>
  <c r="F1737" i="1"/>
  <c r="E1737" i="1" l="1"/>
  <c r="I1737" i="1"/>
  <c r="G1739" i="1"/>
  <c r="F1738" i="1"/>
  <c r="G1740" i="1" l="1"/>
  <c r="F1739" i="1"/>
  <c r="E1738" i="1"/>
  <c r="I1738" i="1"/>
  <c r="G1741" i="1" l="1"/>
  <c r="F1740" i="1"/>
  <c r="E1739" i="1"/>
  <c r="I1739" i="1"/>
  <c r="G1742" i="1" l="1"/>
  <c r="F1741" i="1"/>
  <c r="E1740" i="1"/>
  <c r="I1740" i="1"/>
  <c r="E1741" i="1" l="1"/>
  <c r="I1741" i="1"/>
  <c r="G1743" i="1"/>
  <c r="F1742" i="1"/>
  <c r="E1742" i="1" l="1"/>
  <c r="I1742" i="1"/>
  <c r="G1744" i="1"/>
  <c r="F1743" i="1"/>
  <c r="G1745" i="1" l="1"/>
  <c r="F1744" i="1"/>
  <c r="E1743" i="1"/>
  <c r="I1743" i="1"/>
  <c r="G1746" i="1" l="1"/>
  <c r="F1745" i="1"/>
  <c r="E1744" i="1"/>
  <c r="I1744" i="1"/>
  <c r="G1747" i="1" l="1"/>
  <c r="F1746" i="1"/>
  <c r="E1745" i="1"/>
  <c r="I1745" i="1"/>
  <c r="E1746" i="1" l="1"/>
  <c r="I1746" i="1"/>
  <c r="G1748" i="1"/>
  <c r="F1747" i="1"/>
  <c r="E1747" i="1" l="1"/>
  <c r="I1747" i="1"/>
  <c r="G1749" i="1"/>
  <c r="F1748" i="1"/>
  <c r="G1750" i="1" l="1"/>
  <c r="F1749" i="1"/>
  <c r="E1748" i="1"/>
  <c r="I1748" i="1"/>
  <c r="E1749" i="1" l="1"/>
  <c r="I1749" i="1"/>
  <c r="G1751" i="1"/>
  <c r="F1750" i="1"/>
  <c r="G1752" i="1" l="1"/>
  <c r="F1751" i="1"/>
  <c r="E1750" i="1"/>
  <c r="I1750" i="1"/>
  <c r="E1751" i="1" l="1"/>
  <c r="I1751" i="1"/>
  <c r="G1753" i="1"/>
  <c r="F1752" i="1"/>
  <c r="G1754" i="1" l="1"/>
  <c r="F1753" i="1"/>
  <c r="E1752" i="1"/>
  <c r="I1752" i="1"/>
  <c r="E1753" i="1" l="1"/>
  <c r="I1753" i="1"/>
  <c r="G1755" i="1"/>
  <c r="F1754" i="1"/>
  <c r="E1754" i="1" l="1"/>
  <c r="I1754" i="1"/>
  <c r="G1756" i="1"/>
  <c r="F1755" i="1"/>
  <c r="G1757" i="1" l="1"/>
  <c r="F1756" i="1"/>
  <c r="E1755" i="1"/>
  <c r="I1755" i="1"/>
  <c r="E1756" i="1" l="1"/>
  <c r="I1756" i="1"/>
  <c r="G1758" i="1"/>
  <c r="F1757" i="1"/>
  <c r="G1759" i="1" l="1"/>
  <c r="F1758" i="1"/>
  <c r="E1757" i="1"/>
  <c r="I1757" i="1"/>
  <c r="E1758" i="1" l="1"/>
  <c r="I1758" i="1"/>
  <c r="G1760" i="1"/>
  <c r="F1759" i="1"/>
  <c r="G1761" i="1" l="1"/>
  <c r="F1760" i="1"/>
  <c r="E1759" i="1"/>
  <c r="I1759" i="1"/>
  <c r="E1760" i="1" l="1"/>
  <c r="I1760" i="1"/>
  <c r="G1762" i="1"/>
  <c r="F1761" i="1"/>
  <c r="E1761" i="1" l="1"/>
  <c r="I1761" i="1"/>
  <c r="G1763" i="1"/>
  <c r="F1763" i="1" s="1"/>
  <c r="F1762" i="1"/>
  <c r="E1762" i="1" l="1"/>
  <c r="I1762" i="1"/>
  <c r="E1763" i="1"/>
  <c r="I1763" i="1"/>
  <c r="L1" i="1"/>
</calcChain>
</file>

<file path=xl/sharedStrings.xml><?xml version="1.0" encoding="utf-8"?>
<sst xmlns="http://schemas.openxmlformats.org/spreadsheetml/2006/main" count="1786" uniqueCount="25">
  <si>
    <t>GOOG</t>
  </si>
  <si>
    <t>date</t>
  </si>
  <si>
    <t>symbol</t>
  </si>
  <si>
    <t>close</t>
  </si>
  <si>
    <t>returns</t>
  </si>
  <si>
    <t>predicted returns</t>
  </si>
  <si>
    <t>residual of the AR part</t>
  </si>
  <si>
    <t>sigma</t>
  </si>
  <si>
    <t>epsilon</t>
  </si>
  <si>
    <t>log likelihood</t>
  </si>
  <si>
    <t>sigma^2 0</t>
  </si>
  <si>
    <t xml:space="preserve">alpha 0 </t>
  </si>
  <si>
    <t>alpha 1</t>
  </si>
  <si>
    <t>beta 1</t>
  </si>
  <si>
    <t>eta 1</t>
  </si>
  <si>
    <t>eta 2</t>
  </si>
  <si>
    <t>log-likelihood</t>
  </si>
  <si>
    <t>empirical var</t>
  </si>
  <si>
    <t>eta 3</t>
  </si>
  <si>
    <t>eta 4</t>
  </si>
  <si>
    <t>eta 5</t>
  </si>
  <si>
    <t>Valeur</t>
  </si>
  <si>
    <t>Nom de la variable</t>
  </si>
  <si>
    <t xml:space="preserve">Ecrivez ici votre nombre </t>
  </si>
  <si>
    <t>de n pour l'AR(n)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</si>
</sst>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73" formatCode="_-* #,##0.00000_-;\-* #,##0.00000_-;_-* &quot;-&quot;??_-;_-@_-"/>
    <numFmt numFmtId="174" formatCode="_-* #,##0.00000\ _€_-;\-* #,##0.00000\ _€_-;_-* &quot;-&quot;?????\ _€_-;_-@_-"/>
    <numFmt numFmtId="176" formatCode="#,##0_ ;\-#,##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0" fontId="0" fillId="0" borderId="0" xfId="2" applyNumberFormat="1" applyFont="1"/>
    <xf numFmtId="173" fontId="0" fillId="0" borderId="0" xfId="1" applyNumberFormat="1" applyFont="1"/>
    <xf numFmtId="174" fontId="0" fillId="0" borderId="0" xfId="0" applyNumberFormat="1"/>
    <xf numFmtId="10" fontId="0" fillId="0" borderId="0" xfId="0" applyNumberFormat="1"/>
    <xf numFmtId="176" fontId="0" fillId="2" borderId="0" xfId="1" applyNumberFormat="1" applyFont="1" applyFill="1"/>
  </cellXfs>
  <cellStyles count="3">
    <cellStyle name="Milliers" xfId="1" builtinId="3"/>
    <cellStyle name="Normal" xfId="0" builtinId="0"/>
    <cellStyle name="Pourcentage" xfId="2" builtinId="5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441960</xdr:colOff>
      <xdr:row>14</xdr:row>
      <xdr:rowOff>30480</xdr:rowOff>
    </xdr:from>
    <xdr:to>
      <xdr:col>11</xdr:col>
      <xdr:colOff>220980</xdr:colOff>
      <xdr:row>18</xdr:row>
      <xdr:rowOff>114300</xdr:rowOff>
    </xdr:to>
    <xdr:sp macro="[0]!Rectangle5_Cliquer" textlink="">
      <xdr:nvSpPr>
        <xdr:cNvPr id="6" name="Rectangle 5">
          <a:extLst>
            <a:ext uri="{FF2B5EF4-FFF2-40B4-BE49-F238E27FC236}">
              <a16:creationId xmlns:a16="http://schemas.microsoft.com/office/drawing/2014/main" id="{34728AA7-E161-9B8A-4F26-9DC2C4FEDCFB}"/>
            </a:ext>
          </a:extLst>
        </xdr:cNvPr>
        <xdr:cNvSpPr/>
      </xdr:nvSpPr>
      <xdr:spPr>
        <a:xfrm>
          <a:off x="8831580" y="2590800"/>
          <a:ext cx="1363980" cy="81534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Cliquez ici pour réinitialiser</a:t>
          </a:r>
          <a:r>
            <a:rPr lang="fr-FR" sz="1100" baseline="0">
              <a:solidFill>
                <a:schemeClr val="tx1"/>
              </a:solidFill>
            </a:rPr>
            <a:t> les valeurs des eta</a:t>
          </a:r>
        </a:p>
        <a:p>
          <a:pPr algn="l"/>
          <a:endParaRPr lang="fr-FR" sz="1100"/>
        </a:p>
      </xdr:txBody>
    </xdr:sp>
    <xdr:clientData/>
  </xdr:twoCellAnchor>
  <xdr:twoCellAnchor>
    <xdr:from>
      <xdr:col>9</xdr:col>
      <xdr:colOff>449580</xdr:colOff>
      <xdr:row>19</xdr:row>
      <xdr:rowOff>76200</xdr:rowOff>
    </xdr:from>
    <xdr:to>
      <xdr:col>11</xdr:col>
      <xdr:colOff>228600</xdr:colOff>
      <xdr:row>24</xdr:row>
      <xdr:rowOff>106680</xdr:rowOff>
    </xdr:to>
    <xdr:sp macro="[0]!Optimisation_AR_Garch" textlink="">
      <xdr:nvSpPr>
        <xdr:cNvPr id="8" name="Rectangle 7">
          <a:extLst>
            <a:ext uri="{FF2B5EF4-FFF2-40B4-BE49-F238E27FC236}">
              <a16:creationId xmlns:a16="http://schemas.microsoft.com/office/drawing/2014/main" id="{B1451375-0172-7B25-FED0-73FAC9FD371B}"/>
            </a:ext>
          </a:extLst>
        </xdr:cNvPr>
        <xdr:cNvSpPr/>
      </xdr:nvSpPr>
      <xdr:spPr>
        <a:xfrm>
          <a:off x="8839200" y="3550920"/>
          <a:ext cx="1363980" cy="94488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Cliquez sur ce bouton pour lancer la macro d'optimisation </a:t>
          </a:r>
        </a:p>
      </xdr:txBody>
    </xdr:sp>
    <xdr:clientData/>
  </xdr:twoCellAnchor>
  <xdr:twoCellAnchor>
    <xdr:from>
      <xdr:col>10</xdr:col>
      <xdr:colOff>1089660</xdr:colOff>
      <xdr:row>4</xdr:row>
      <xdr:rowOff>160020</xdr:rowOff>
    </xdr:from>
    <xdr:to>
      <xdr:col>10</xdr:col>
      <xdr:colOff>1226820</xdr:colOff>
      <xdr:row>5</xdr:row>
      <xdr:rowOff>167640</xdr:rowOff>
    </xdr:to>
    <xdr:sp macro="" textlink="">
      <xdr:nvSpPr>
        <xdr:cNvPr id="11" name="Flèche : bas 10">
          <a:extLst>
            <a:ext uri="{FF2B5EF4-FFF2-40B4-BE49-F238E27FC236}">
              <a16:creationId xmlns:a16="http://schemas.microsoft.com/office/drawing/2014/main" id="{16471506-5ECA-9554-F00D-2041793B0F36}"/>
            </a:ext>
          </a:extLst>
        </xdr:cNvPr>
        <xdr:cNvSpPr/>
      </xdr:nvSpPr>
      <xdr:spPr>
        <a:xfrm>
          <a:off x="10271760" y="891540"/>
          <a:ext cx="137160" cy="190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556260</xdr:colOff>
      <xdr:row>7</xdr:row>
      <xdr:rowOff>121920</xdr:rowOff>
    </xdr:from>
    <xdr:to>
      <xdr:col>11</xdr:col>
      <xdr:colOff>152400</xdr:colOff>
      <xdr:row>10</xdr:row>
      <xdr:rowOff>60960</xdr:rowOff>
    </xdr:to>
    <xdr:sp macro="[0]!Rectangle1_Cliquer" textlink="">
      <xdr:nvSpPr>
        <xdr:cNvPr id="12" name="Rectangle 11">
          <a:extLst>
            <a:ext uri="{FF2B5EF4-FFF2-40B4-BE49-F238E27FC236}">
              <a16:creationId xmlns:a16="http://schemas.microsoft.com/office/drawing/2014/main" id="{34D9EB8A-30BA-5E62-06ED-2E13D37D0DE5}"/>
            </a:ext>
          </a:extLst>
        </xdr:cNvPr>
        <xdr:cNvSpPr/>
      </xdr:nvSpPr>
      <xdr:spPr>
        <a:xfrm>
          <a:off x="8945880" y="1402080"/>
          <a:ext cx="1722120" cy="48768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Cliquez ici pour initilaiser les valeurs</a:t>
          </a:r>
          <a:r>
            <a:rPr lang="fr-FR" sz="1100" baseline="0">
              <a:solidFill>
                <a:sysClr val="windowText" lastClr="000000"/>
              </a:solidFill>
            </a:rPr>
            <a:t> de vos n eta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B655DB-DE34-411C-96E1-952D603C5CA2}" name="Tableau1" displayName="Tableau1" ref="M4:N105" totalsRowShown="0">
  <autoFilter ref="M4:N105" xr:uid="{16B655DB-DE34-411C-96E1-952D603C5CA2}"/>
  <tableColumns count="2">
    <tableColumn id="1" xr3:uid="{B9B13C92-3044-4D01-933C-E5DE4A779963}" name="Nom de la variable"/>
    <tableColumn id="2" xr3:uid="{A0C0E09B-EB1E-4095-AD42-55BD1BA42B7E}" name="Valeu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D56F47-7CF9-48FE-A9B7-D2C362FCC78D}" name="Tableau2" displayName="Tableau2" ref="A1:I1763" totalsRowShown="0">
  <autoFilter ref="A1:I1763" xr:uid="{8ED56F47-7CF9-48FE-A9B7-D2C362FCC78D}"/>
  <tableColumns count="9">
    <tableColumn id="1" xr3:uid="{B1B4080D-0112-4156-8C11-0ABD4601414A}" name="date" dataDxfId="3"/>
    <tableColumn id="2" xr3:uid="{EC4E7E77-653C-47CF-93F3-10DA27C03C43}" name="symbol"/>
    <tableColumn id="3" xr3:uid="{57525ED7-F1F2-47AB-B6C2-241CA92A08E6}" name="close"/>
    <tableColumn id="4" xr3:uid="{F6DFDA41-8860-4827-A2B5-65CDEC6EC96D}" name="returns" dataDxfId="2" dataCellStyle="Pourcentage">
      <calculatedColumnFormula>(C2-C1)/C1</calculatedColumnFormula>
    </tableColumn>
    <tableColumn id="5" xr3:uid="{90216962-46FE-4CE7-99D4-D7E00A89E7D1}" name="predicted returns" dataDxfId="1" dataCellStyle="Pourcentage"/>
    <tableColumn id="6" xr3:uid="{CB6ABCEB-757F-4929-83B5-B0582C7BD60D}" name="residual of the AR part">
      <calculatedColumnFormula>G2*H2</calculatedColumnFormula>
    </tableColumn>
    <tableColumn id="7" xr3:uid="{45E077B9-CB2F-461E-BD15-A37E9889F8FE}" name="sigma" dataDxfId="0" dataCellStyle="Milliers">
      <calculatedColumnFormula>SQRT($N$6+$N$7*(H1^2)+$N$8*(G1^2))</calculatedColumnFormula>
    </tableColumn>
    <tableColumn id="8" xr3:uid="{874E1E45-015A-499E-8B8E-C7626A8654D2}" name="epsilon">
      <calculatedColumnFormula>_xlfn.NORM.S.INV(RAND())</calculatedColumnFormula>
    </tableColumn>
    <tableColumn id="9" xr3:uid="{97F3E1F8-75EF-4094-B4CD-60855E8D4248}" name="log likelihood">
      <calculatedColumnFormula>-LN(F2^2)-(D2^2)/(F2^2)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D7B7-B657-42C2-8C83-AEBAA541F5DC}">
  <sheetPr codeName="Feuil1"/>
  <dimension ref="A1:P1763"/>
  <sheetViews>
    <sheetView showGridLines="0" tabSelected="1" workbookViewId="0">
      <selection activeCell="K7" sqref="K7"/>
    </sheetView>
  </sheetViews>
  <sheetFormatPr baseColWidth="10" defaultRowHeight="14.4" x14ac:dyDescent="0.3"/>
  <cols>
    <col min="5" max="5" width="17.33203125" customWidth="1"/>
    <col min="6" max="6" width="21.5546875" customWidth="1"/>
    <col min="9" max="9" width="14.109375" customWidth="1"/>
    <col min="11" max="11" width="19.44140625" customWidth="1"/>
    <col min="13" max="13" width="20.21875" customWidth="1"/>
  </cols>
  <sheetData>
    <row r="1" spans="1:16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K1" t="s">
        <v>16</v>
      </c>
      <c r="L1">
        <f ca="1">SUM(I5:I1763)</f>
        <v>9.4175273224401632</v>
      </c>
    </row>
    <row r="2" spans="1:16" x14ac:dyDescent="0.3">
      <c r="A2" s="1">
        <v>40182</v>
      </c>
      <c r="B2" t="s">
        <v>0</v>
      </c>
      <c r="C2">
        <v>312.20530839999998</v>
      </c>
      <c r="K2" t="s">
        <v>17</v>
      </c>
      <c r="L2">
        <f ca="1">_xlfn.VAR.P(H5:H1763)</f>
        <v>1.030262442367319</v>
      </c>
    </row>
    <row r="3" spans="1:16" x14ac:dyDescent="0.3">
      <c r="A3" s="1">
        <v>40183</v>
      </c>
      <c r="B3" t="s">
        <v>0</v>
      </c>
      <c r="C3">
        <v>310.83045859999999</v>
      </c>
      <c r="D3" s="2">
        <f>(C3-C2)/C2</f>
        <v>-4.4036720805481116E-3</v>
      </c>
    </row>
    <row r="4" spans="1:16" x14ac:dyDescent="0.3">
      <c r="A4" s="1">
        <v>40184</v>
      </c>
      <c r="B4" t="s">
        <v>0</v>
      </c>
      <c r="C4">
        <v>302.99481259999999</v>
      </c>
      <c r="D4" s="2">
        <f t="shared" ref="D4:D67" si="0">(C4-C3)/C3</f>
        <v>-2.520874574291156E-2</v>
      </c>
      <c r="M4" t="s">
        <v>22</v>
      </c>
      <c r="N4" t="s">
        <v>21</v>
      </c>
    </row>
    <row r="5" spans="1:16" x14ac:dyDescent="0.3">
      <c r="A5" s="1">
        <v>40185</v>
      </c>
      <c r="B5" t="s">
        <v>0</v>
      </c>
      <c r="C5">
        <v>295.94124210000001</v>
      </c>
      <c r="D5" s="2">
        <f>(C5-C4)/C4</f>
        <v>-2.3279509109325188E-2</v>
      </c>
      <c r="E5" s="2">
        <f ca="1">$N$9*D4+$N$10*D3+F5</f>
        <v>-7.1664932084325433E-3</v>
      </c>
      <c r="F5">
        <f ca="1">G5*H5</f>
        <v>3.0920356343158563E-3</v>
      </c>
      <c r="G5">
        <f>SQRT(N5)</f>
        <v>9.3067978565539236E-3</v>
      </c>
      <c r="H5">
        <f ca="1">_xlfn.NORM.S.INV(RAND())</f>
        <v>0.33223410263911762</v>
      </c>
      <c r="I5">
        <f ca="1">-LN(F5^2)-(D5^2)/(F5^2)</f>
        <v>-45.125909427697763</v>
      </c>
      <c r="K5" t="s">
        <v>23</v>
      </c>
      <c r="M5" t="s">
        <v>10</v>
      </c>
      <c r="N5">
        <v>8.6616486342756715E-5</v>
      </c>
    </row>
    <row r="6" spans="1:16" x14ac:dyDescent="0.3">
      <c r="A6" s="1">
        <v>40186</v>
      </c>
      <c r="B6" t="s">
        <v>0</v>
      </c>
      <c r="C6">
        <v>299.88646990000001</v>
      </c>
      <c r="D6" s="2">
        <f t="shared" si="0"/>
        <v>1.3331118609912727E-2</v>
      </c>
      <c r="E6" s="2">
        <f ca="1">$N$9*D5+$N$10*D4+$N$11*D3+F6</f>
        <v>-5.7345381334277426E-2</v>
      </c>
      <c r="F6">
        <f t="shared" ref="F6:F69" ca="1" si="1">G6*H6</f>
        <v>-3.1854041438453835E-2</v>
      </c>
      <c r="G6" s="3">
        <f ca="1">SQRT($N$6+$N$7*(H5^2)+$N$8*(G5^2))</f>
        <v>0.17062843037812803</v>
      </c>
      <c r="H6">
        <f t="shared" ref="H6:H15" ca="1" si="2">_xlfn.NORM.S.INV(RAND())</f>
        <v>-0.18668659945978755</v>
      </c>
      <c r="I6">
        <f t="shared" ref="I6:I69" ca="1" si="3">-LN(F6^2)-(D6^2)/(F6^2)</f>
        <v>6.7180344656802831</v>
      </c>
      <c r="K6" s="4" t="s">
        <v>24</v>
      </c>
      <c r="M6" t="s">
        <v>11</v>
      </c>
      <c r="N6">
        <v>2.6375564284251682E-2</v>
      </c>
    </row>
    <row r="7" spans="1:16" x14ac:dyDescent="0.3">
      <c r="A7" s="1">
        <v>40189</v>
      </c>
      <c r="B7" t="s">
        <v>0</v>
      </c>
      <c r="C7">
        <v>299.43316099999998</v>
      </c>
      <c r="D7" s="2">
        <f t="shared" si="0"/>
        <v>-1.5116017076435115E-3</v>
      </c>
      <c r="E7" s="2">
        <f ca="1">$N$9*D6+$N$10*D5+$N$11*D4+$N$12*D3+F7</f>
        <v>-0.37769746594432985</v>
      </c>
      <c r="F7">
        <f t="shared" ca="1" si="1"/>
        <v>-0.34968385416674713</v>
      </c>
      <c r="G7" s="3">
        <f t="shared" ref="G7:G70" ca="1" si="4">SQRT($N$6+$N$7*(H6^2)+$N$8*(G6^2))</f>
        <v>0.23639435366903108</v>
      </c>
      <c r="H7">
        <f t="shared" ca="1" si="2"/>
        <v>-1.4792394519554786</v>
      </c>
      <c r="I7">
        <f t="shared" ca="1" si="3"/>
        <v>2.1014329266995446</v>
      </c>
      <c r="K7" s="6">
        <v>5</v>
      </c>
      <c r="M7" t="s">
        <v>12</v>
      </c>
      <c r="N7">
        <v>2.4037114096926267E-2</v>
      </c>
      <c r="P7" s="5"/>
    </row>
    <row r="8" spans="1:16" x14ac:dyDescent="0.3">
      <c r="A8" s="1">
        <v>40190</v>
      </c>
      <c r="B8" t="s">
        <v>0</v>
      </c>
      <c r="C8">
        <v>294.13801649999999</v>
      </c>
      <c r="D8" s="2">
        <f t="shared" si="0"/>
        <v>-1.7683894737363415E-2</v>
      </c>
      <c r="E8" s="2">
        <f ca="1">$N$9*D7+$N$10*D6+$N$11*D5+$N$12*D4+$N$13*D3+F8</f>
        <v>0.10960026905521963</v>
      </c>
      <c r="F8">
        <f t="shared" ca="1" si="1"/>
        <v>0.12471071191811192</v>
      </c>
      <c r="G8" s="3">
        <f t="shared" ca="1" si="4"/>
        <v>0.36606060162260179</v>
      </c>
      <c r="H8">
        <f t="shared" ca="1" si="2"/>
        <v>0.3406832403304772</v>
      </c>
      <c r="I8">
        <f t="shared" ca="1" si="3"/>
        <v>4.1434100084582557</v>
      </c>
      <c r="M8" t="s">
        <v>13</v>
      </c>
      <c r="N8">
        <v>0.98471275245994405</v>
      </c>
    </row>
    <row r="9" spans="1:16" x14ac:dyDescent="0.3">
      <c r="A9" s="1">
        <v>40191</v>
      </c>
      <c r="B9" t="s">
        <v>0</v>
      </c>
      <c r="C9">
        <v>292.44932360000001</v>
      </c>
      <c r="D9" s="2">
        <f t="shared" si="0"/>
        <v>-5.7411582497700637E-3</v>
      </c>
      <c r="E9" s="2">
        <f ca="1">$N$9*D8+$N$10*D7+$N$11*D6+$N$12*D5+$N$13*D4+$N$14*D3+F9</f>
        <v>-4.3489827952493685E-3</v>
      </c>
      <c r="F9">
        <f t="shared" ca="1" si="1"/>
        <v>6.4116645787780742E-3</v>
      </c>
      <c r="G9" s="3">
        <f t="shared" ca="1" si="4"/>
        <v>0.40139419645129637</v>
      </c>
      <c r="H9">
        <f t="shared" ca="1" si="2"/>
        <v>1.5973486003193971E-2</v>
      </c>
      <c r="I9">
        <f t="shared" ca="1" si="3"/>
        <v>9.2974886006542174</v>
      </c>
      <c r="M9" t="s">
        <v>14</v>
      </c>
      <c r="N9">
        <v>0.29816544055938721</v>
      </c>
    </row>
    <row r="10" spans="1:16" x14ac:dyDescent="0.3">
      <c r="A10" s="1">
        <v>40192</v>
      </c>
      <c r="B10" t="s">
        <v>0</v>
      </c>
      <c r="C10">
        <v>293.82417340000001</v>
      </c>
      <c r="D10" s="2">
        <f t="shared" si="0"/>
        <v>4.7011556842595226E-3</v>
      </c>
      <c r="E10" s="2">
        <f ca="1">$N$9*D9+$N$10*D8+$N$11*D7+$N$12*D6+$N$13*D5+$N$14*D4+$N$15*D3+F10</f>
        <v>-0.32486151427919796</v>
      </c>
      <c r="F10">
        <f t="shared" ca="1" si="1"/>
        <v>-0.30817245777464358</v>
      </c>
      <c r="G10" s="3">
        <f t="shared" ca="1" si="4"/>
        <v>0.43015806198463002</v>
      </c>
      <c r="H10">
        <f t="shared" ca="1" si="2"/>
        <v>-0.71641678956991139</v>
      </c>
      <c r="I10">
        <f t="shared" ca="1" si="3"/>
        <v>2.3539587362156174</v>
      </c>
      <c r="M10" t="s">
        <v>15</v>
      </c>
      <c r="N10">
        <v>0.62269669771194458</v>
      </c>
    </row>
    <row r="11" spans="1:16" x14ac:dyDescent="0.3">
      <c r="A11" s="1">
        <v>40193</v>
      </c>
      <c r="B11" t="s">
        <v>0</v>
      </c>
      <c r="C11">
        <v>288.91754859999998</v>
      </c>
      <c r="D11" s="2">
        <f t="shared" si="0"/>
        <v>-1.6699186943071414E-2</v>
      </c>
      <c r="E11" s="2">
        <f ca="1">$N$9*D10+$N$10*D9+$N$11*D8+$N$12*D7+$N$13*D6+$N$14*D5+$N$15*D4+$N$16*D3+F11</f>
        <v>0.54338850199496425</v>
      </c>
      <c r="F11">
        <f t="shared" ca="1" si="1"/>
        <v>0.55369258959345946</v>
      </c>
      <c r="G11" s="3">
        <f t="shared" ca="1" si="4"/>
        <v>0.47002122653311035</v>
      </c>
      <c r="H11">
        <f t="shared" ca="1" si="2"/>
        <v>1.1780161370104738</v>
      </c>
      <c r="I11">
        <f t="shared" ca="1" si="3"/>
        <v>1.1813816715295999</v>
      </c>
      <c r="M11" t="s">
        <v>18</v>
      </c>
      <c r="N11">
        <v>0.64782118797302246</v>
      </c>
    </row>
    <row r="12" spans="1:16" x14ac:dyDescent="0.3">
      <c r="A12" s="1">
        <v>40197</v>
      </c>
      <c r="B12" t="s">
        <v>0</v>
      </c>
      <c r="C12">
        <v>292.7133316</v>
      </c>
      <c r="D12" s="2">
        <f t="shared" si="0"/>
        <v>1.3137945474039748E-2</v>
      </c>
      <c r="E12" s="2">
        <f t="shared" ref="E6:E69" ca="1" si="5">$N$9*D11+$N$10*D10+F12</f>
        <v>1.1784881764337924</v>
      </c>
      <c r="F12">
        <f t="shared" ca="1" si="1"/>
        <v>1.1805399027456387</v>
      </c>
      <c r="G12" s="3">
        <f t="shared" ca="1" si="4"/>
        <v>0.52656917130496417</v>
      </c>
      <c r="H12">
        <f t="shared" ca="1" si="2"/>
        <v>2.2419464850552853</v>
      </c>
      <c r="I12">
        <f t="shared" ca="1" si="3"/>
        <v>-0.33206760637461519</v>
      </c>
      <c r="M12" t="s">
        <v>19</v>
      </c>
      <c r="N12">
        <v>0.26379293203353882</v>
      </c>
    </row>
    <row r="13" spans="1:16" x14ac:dyDescent="0.3">
      <c r="A13" s="1">
        <v>40198</v>
      </c>
      <c r="B13" t="s">
        <v>0</v>
      </c>
      <c r="C13">
        <v>289.121803</v>
      </c>
      <c r="D13" s="2">
        <f t="shared" si="0"/>
        <v>-1.2269781428704846E-2</v>
      </c>
      <c r="E13" s="2">
        <f t="shared" ca="1" si="5"/>
        <v>-7.1366503576799079E-2</v>
      </c>
      <c r="F13">
        <f t="shared" ca="1" si="1"/>
        <v>-6.4885256313186354E-2</v>
      </c>
      <c r="G13" s="3">
        <f t="shared" ca="1" si="4"/>
        <v>0.64825165481044955</v>
      </c>
      <c r="H13">
        <f ca="1">_xlfn.NORM.S.INV(RAND())</f>
        <v>-0.10009269676628743</v>
      </c>
      <c r="I13">
        <f t="shared" ca="1" si="3"/>
        <v>5.4345110227871736</v>
      </c>
      <c r="M13" t="s">
        <v>20</v>
      </c>
      <c r="N13">
        <v>0.27934205532073975</v>
      </c>
    </row>
    <row r="14" spans="1:16" x14ac:dyDescent="0.3">
      <c r="A14" s="1">
        <v>40199</v>
      </c>
      <c r="B14" t="s">
        <v>0</v>
      </c>
      <c r="C14">
        <v>290.40198709999999</v>
      </c>
      <c r="D14" s="2">
        <f t="shared" si="0"/>
        <v>4.4278365959138175E-3</v>
      </c>
      <c r="E14" s="2">
        <f t="shared" ca="1" si="5"/>
        <v>0.89518977848898351</v>
      </c>
      <c r="F14">
        <f t="shared" ca="1" si="1"/>
        <v>0.89066724801283659</v>
      </c>
      <c r="G14" s="3">
        <f t="shared" ca="1" si="4"/>
        <v>0.66364329727334537</v>
      </c>
      <c r="H14">
        <f t="shared" ca="1" si="2"/>
        <v>1.3420873105661508</v>
      </c>
      <c r="I14">
        <f t="shared" ca="1" si="3"/>
        <v>0.23154404604834702</v>
      </c>
    </row>
    <row r="15" spans="1:16" x14ac:dyDescent="0.3">
      <c r="A15" s="1">
        <v>40200</v>
      </c>
      <c r="B15" t="s">
        <v>0</v>
      </c>
      <c r="C15">
        <v>273.97852769999997</v>
      </c>
      <c r="D15" s="2">
        <f t="shared" si="0"/>
        <v>-5.6554225279266394E-2</v>
      </c>
      <c r="E15" s="2">
        <f t="shared" ca="1" si="5"/>
        <v>-0.15042279598065536</v>
      </c>
      <c r="F15">
        <f t="shared" ca="1" si="1"/>
        <v>-0.14410267145269912</v>
      </c>
      <c r="G15" s="3">
        <f t="shared" ca="1" si="4"/>
        <v>0.70947921314291718</v>
      </c>
      <c r="H15">
        <f t="shared" ca="1" si="2"/>
        <v>-0.20311049116483576</v>
      </c>
      <c r="I15">
        <f t="shared" ca="1" si="3"/>
        <v>3.7204353069049816</v>
      </c>
    </row>
    <row r="16" spans="1:16" x14ac:dyDescent="0.3">
      <c r="A16" s="1">
        <v>40203</v>
      </c>
      <c r="B16" t="s">
        <v>0</v>
      </c>
      <c r="C16">
        <v>268.99222159999999</v>
      </c>
      <c r="D16" s="2">
        <f t="shared" si="0"/>
        <v>-1.8199623678027303E-2</v>
      </c>
      <c r="E16" s="2">
        <f t="shared" ca="1" si="5"/>
        <v>-0.91401981588973147</v>
      </c>
      <c r="F16">
        <f t="shared" ca="1" si="1"/>
        <v>-0.89991449962012782</v>
      </c>
      <c r="G16" s="3">
        <f t="shared" ca="1" si="4"/>
        <v>0.72321016429437868</v>
      </c>
      <c r="H16">
        <f t="shared" ref="H6:H69" ca="1" si="6">_xlfn.NORM.S.INV(RAND())</f>
        <v>-1.2443333128457286</v>
      </c>
      <c r="I16">
        <f t="shared" ca="1" si="3"/>
        <v>0.2105020421184674</v>
      </c>
    </row>
    <row r="17" spans="1:9" x14ac:dyDescent="0.3">
      <c r="A17" s="1">
        <v>40204</v>
      </c>
      <c r="B17" t="s">
        <v>0</v>
      </c>
      <c r="C17">
        <v>270.19769819999999</v>
      </c>
      <c r="D17" s="2">
        <f t="shared" si="0"/>
        <v>4.481455236250583E-3</v>
      </c>
      <c r="E17" s="2">
        <f t="shared" ca="1" si="5"/>
        <v>0.42116936612250278</v>
      </c>
      <c r="F17">
        <f t="shared" ca="1" si="1"/>
        <v>0.46181199425753339</v>
      </c>
      <c r="G17" s="3">
        <f t="shared" ca="1" si="4"/>
        <v>0.76067799205528741</v>
      </c>
      <c r="H17">
        <f t="shared" ca="1" si="6"/>
        <v>0.60710576496338031</v>
      </c>
      <c r="I17">
        <f t="shared" ca="1" si="3"/>
        <v>1.5451006501721014</v>
      </c>
    </row>
    <row r="18" spans="1:9" x14ac:dyDescent="0.3">
      <c r="A18" s="1">
        <v>40205</v>
      </c>
      <c r="B18" t="s">
        <v>0</v>
      </c>
      <c r="C18">
        <v>270.0383046</v>
      </c>
      <c r="D18" s="2">
        <f t="shared" si="0"/>
        <v>-5.8991472193077013E-4</v>
      </c>
      <c r="E18" s="2">
        <f t="shared" ca="1" si="5"/>
        <v>-1.5205790755969359</v>
      </c>
      <c r="F18">
        <f t="shared" ca="1" si="1"/>
        <v>-1.510582445107892</v>
      </c>
      <c r="G18" s="3">
        <f t="shared" ca="1" si="4"/>
        <v>0.77783059446654634</v>
      </c>
      <c r="H18">
        <f t="shared" ca="1" si="6"/>
        <v>-1.9420455506046059</v>
      </c>
      <c r="I18">
        <f t="shared" ca="1" si="3"/>
        <v>-0.82499075588892357</v>
      </c>
    </row>
    <row r="19" spans="1:9" x14ac:dyDescent="0.3">
      <c r="A19" s="1">
        <v>40206</v>
      </c>
      <c r="B19" t="s">
        <v>0</v>
      </c>
      <c r="C19">
        <v>266.14785649999999</v>
      </c>
      <c r="D19" s="2">
        <f t="shared" si="0"/>
        <v>-1.4407023128673629E-2</v>
      </c>
      <c r="E19" s="2">
        <f t="shared" ca="1" si="5"/>
        <v>1.0477097586809878</v>
      </c>
      <c r="F19">
        <f t="shared" ca="1" si="1"/>
        <v>1.0450950634873877</v>
      </c>
      <c r="G19" s="3">
        <f t="shared" ca="1" si="4"/>
        <v>0.84427712290816825</v>
      </c>
      <c r="H19">
        <f t="shared" ca="1" si="6"/>
        <v>1.2378578491946919</v>
      </c>
      <c r="I19">
        <f t="shared" ca="1" si="3"/>
        <v>-8.8405738699560088E-2</v>
      </c>
    </row>
    <row r="20" spans="1:9" x14ac:dyDescent="0.3">
      <c r="A20" s="1">
        <v>40207</v>
      </c>
      <c r="B20" t="s">
        <v>0</v>
      </c>
      <c r="C20">
        <v>263.98098249999998</v>
      </c>
      <c r="D20" s="2">
        <f t="shared" si="0"/>
        <v>-8.1416173269086879E-3</v>
      </c>
      <c r="E20" s="2">
        <f t="shared" ca="1" si="5"/>
        <v>0.2392461362112494</v>
      </c>
      <c r="F20">
        <f t="shared" ca="1" si="1"/>
        <v>0.24390915055883761</v>
      </c>
      <c r="G20" s="3">
        <f t="shared" ca="1" si="4"/>
        <v>0.87470823389419516</v>
      </c>
      <c r="H20">
        <f t="shared" ca="1" si="6"/>
        <v>0.27884629537892391</v>
      </c>
      <c r="I20">
        <f t="shared" ca="1" si="3"/>
        <v>2.8208047083872549</v>
      </c>
    </row>
    <row r="21" spans="1:9" x14ac:dyDescent="0.3">
      <c r="A21" s="1">
        <v>40210</v>
      </c>
      <c r="B21" t="s">
        <v>0</v>
      </c>
      <c r="C21">
        <v>265.5152258</v>
      </c>
      <c r="D21" s="2">
        <f t="shared" si="0"/>
        <v>5.8119463207923104E-3</v>
      </c>
      <c r="E21" s="2">
        <f t="shared" ca="1" si="5"/>
        <v>0.57087636730503932</v>
      </c>
      <c r="F21">
        <f t="shared" ca="1" si="1"/>
        <v>0.58227512194826769</v>
      </c>
      <c r="G21" s="3">
        <f t="shared" ca="1" si="4"/>
        <v>0.88411683392206197</v>
      </c>
      <c r="H21">
        <f t="shared" ca="1" si="6"/>
        <v>0.65859522136369286</v>
      </c>
      <c r="I21">
        <f t="shared" ca="1" si="3"/>
        <v>1.0815248204276666</v>
      </c>
    </row>
    <row r="22" spans="1:9" x14ac:dyDescent="0.3">
      <c r="A22" s="1">
        <v>40211</v>
      </c>
      <c r="B22" t="s">
        <v>0</v>
      </c>
      <c r="C22">
        <v>264.56878280000001</v>
      </c>
      <c r="D22" s="2">
        <f t="shared" si="0"/>
        <v>-3.5645526434438771E-3</v>
      </c>
      <c r="E22" s="2">
        <f t="shared" ca="1" si="5"/>
        <v>2.2717262354118994</v>
      </c>
      <c r="F22">
        <f t="shared" ca="1" si="1"/>
        <v>2.2750630721001532</v>
      </c>
      <c r="G22" s="3">
        <f t="shared" ca="1" si="4"/>
        <v>0.89806164217358564</v>
      </c>
      <c r="H22">
        <f t="shared" ca="1" si="6"/>
        <v>2.5333039128514612</v>
      </c>
      <c r="I22">
        <f t="shared" ca="1" si="3"/>
        <v>-1.6440180068773134</v>
      </c>
    </row>
    <row r="23" spans="1:9" x14ac:dyDescent="0.3">
      <c r="A23" s="1">
        <v>40212</v>
      </c>
      <c r="B23" t="s">
        <v>0</v>
      </c>
      <c r="C23">
        <v>269.40066969999998</v>
      </c>
      <c r="D23" s="2">
        <f t="shared" si="0"/>
        <v>1.8263254072770265E-2</v>
      </c>
      <c r="E23" s="2">
        <f t="shared" ca="1" si="5"/>
        <v>-1.1741503405523441</v>
      </c>
      <c r="F23">
        <f t="shared" ca="1" si="1"/>
        <v>-1.1767065939242509</v>
      </c>
      <c r="G23" s="3">
        <f t="shared" ca="1" si="4"/>
        <v>0.98733082652890558</v>
      </c>
      <c r="H23">
        <f t="shared" ca="1" si="6"/>
        <v>-1.1918057881987958</v>
      </c>
      <c r="I23">
        <f t="shared" ca="1" si="3"/>
        <v>-0.32567991908214244</v>
      </c>
    </row>
    <row r="24" spans="1:9" x14ac:dyDescent="0.3">
      <c r="A24" s="1">
        <v>40213</v>
      </c>
      <c r="B24" t="s">
        <v>0</v>
      </c>
      <c r="C24">
        <v>262.40688310000002</v>
      </c>
      <c r="D24" s="2">
        <f t="shared" si="0"/>
        <v>-2.596053902831098E-2</v>
      </c>
      <c r="E24" s="2">
        <f t="shared" ca="1" si="5"/>
        <v>-0.31537925385529225</v>
      </c>
      <c r="F24">
        <f t="shared" ca="1" si="1"/>
        <v>-0.31860508989205494</v>
      </c>
      <c r="G24" s="3">
        <f t="shared" ca="1" si="4"/>
        <v>1.0101671739866227</v>
      </c>
      <c r="H24">
        <f t="shared" ca="1" si="6"/>
        <v>-0.31539837969064127</v>
      </c>
      <c r="I24">
        <f t="shared" ca="1" si="3"/>
        <v>2.2809665162531694</v>
      </c>
    </row>
    <row r="25" spans="1:9" x14ac:dyDescent="0.3">
      <c r="A25" s="1">
        <v>40214</v>
      </c>
      <c r="B25" t="s">
        <v>0</v>
      </c>
      <c r="C25">
        <v>264.65346879999998</v>
      </c>
      <c r="D25" s="2">
        <f t="shared" si="0"/>
        <v>8.5614587295098615E-3</v>
      </c>
      <c r="E25" s="2">
        <f t="shared" ca="1" si="5"/>
        <v>-0.39136090103570215</v>
      </c>
      <c r="F25">
        <f t="shared" ca="1" si="1"/>
        <v>-0.39499283347975489</v>
      </c>
      <c r="G25" s="3">
        <f t="shared" ca="1" si="4"/>
        <v>1.0166635229738459</v>
      </c>
      <c r="H25">
        <f t="shared" ca="1" si="6"/>
        <v>-0.38851874248852758</v>
      </c>
      <c r="I25">
        <f t="shared" ca="1" si="3"/>
        <v>1.8573055102448928</v>
      </c>
    </row>
    <row r="26" spans="1:9" x14ac:dyDescent="0.3">
      <c r="A26" s="1">
        <v>40217</v>
      </c>
      <c r="B26" t="s">
        <v>0</v>
      </c>
      <c r="C26">
        <v>265.73940850000002</v>
      </c>
      <c r="D26" s="2">
        <f t="shared" si="0"/>
        <v>4.1032513381515142E-3</v>
      </c>
      <c r="E26" s="2">
        <f t="shared" ca="1" si="5"/>
        <v>-0.16031439004938666</v>
      </c>
      <c r="F26">
        <f t="shared" ca="1" si="1"/>
        <v>-0.14670157923955068</v>
      </c>
      <c r="G26" s="3">
        <f t="shared" ca="1" si="4"/>
        <v>1.023624754392823</v>
      </c>
      <c r="H26">
        <f t="shared" ca="1" si="6"/>
        <v>-0.14331577915636548</v>
      </c>
      <c r="I26">
        <f t="shared" ca="1" si="3"/>
        <v>3.83792733357657</v>
      </c>
    </row>
    <row r="27" spans="1:9" x14ac:dyDescent="0.3">
      <c r="A27" s="1">
        <v>40218</v>
      </c>
      <c r="B27" t="s">
        <v>0</v>
      </c>
      <c r="C27">
        <v>267.2188726</v>
      </c>
      <c r="D27" s="2">
        <f t="shared" si="0"/>
        <v>5.5673492627645879E-3</v>
      </c>
      <c r="E27" s="2">
        <f t="shared" ca="1" si="5"/>
        <v>0.89361341911017256</v>
      </c>
      <c r="F27">
        <f t="shared" ca="1" si="1"/>
        <v>0.88705877928874377</v>
      </c>
      <c r="G27" s="3">
        <f t="shared" ca="1" si="4"/>
        <v>1.028911471196426</v>
      </c>
      <c r="H27">
        <f t="shared" ca="1" si="6"/>
        <v>0.862133238982422</v>
      </c>
      <c r="I27">
        <f t="shared" ca="1" si="3"/>
        <v>0.23964867214127045</v>
      </c>
    </row>
    <row r="28" spans="1:9" x14ac:dyDescent="0.3">
      <c r="A28" s="1">
        <v>40219</v>
      </c>
      <c r="B28" t="s">
        <v>0</v>
      </c>
      <c r="C28">
        <v>266.22756820000001</v>
      </c>
      <c r="D28" s="2">
        <f t="shared" si="0"/>
        <v>-3.7097095364363496E-3</v>
      </c>
      <c r="E28" s="2">
        <f t="shared" ca="1" si="5"/>
        <v>-0.23100283228816584</v>
      </c>
      <c r="F28">
        <f t="shared" ca="1" si="1"/>
        <v>-0.23521790449199509</v>
      </c>
      <c r="G28" s="3">
        <f t="shared" ca="1" si="4"/>
        <v>1.0424569802754813</v>
      </c>
      <c r="H28">
        <f t="shared" ca="1" si="6"/>
        <v>-0.22563799652416933</v>
      </c>
      <c r="I28">
        <f t="shared" ca="1" si="3"/>
        <v>2.8942371463914558</v>
      </c>
    </row>
    <row r="29" spans="1:9" x14ac:dyDescent="0.3">
      <c r="A29" s="1">
        <v>40220</v>
      </c>
      <c r="B29" t="s">
        <v>0</v>
      </c>
      <c r="C29">
        <v>267.19894429999999</v>
      </c>
      <c r="D29" s="2">
        <f t="shared" si="0"/>
        <v>3.6486683425296235E-3</v>
      </c>
      <c r="E29" s="2">
        <f t="shared" ca="1" si="5"/>
        <v>-0.119754322259445</v>
      </c>
      <c r="F29">
        <f t="shared" ca="1" si="1"/>
        <v>-0.12211498508209864</v>
      </c>
      <c r="G29" s="3">
        <f t="shared" ca="1" si="4"/>
        <v>1.0477132263740656</v>
      </c>
      <c r="H29">
        <f t="shared" ca="1" si="6"/>
        <v>-0.11655382599751572</v>
      </c>
      <c r="I29">
        <f t="shared" ca="1" si="3"/>
        <v>4.204691602852642</v>
      </c>
    </row>
    <row r="30" spans="1:9" x14ac:dyDescent="0.3">
      <c r="A30" s="1">
        <v>40221</v>
      </c>
      <c r="B30" t="s">
        <v>0</v>
      </c>
      <c r="C30">
        <v>265.56506100000001</v>
      </c>
      <c r="D30" s="2">
        <f t="shared" si="0"/>
        <v>-6.1148568692154801E-3</v>
      </c>
      <c r="E30" s="2">
        <f t="shared" ca="1" si="5"/>
        <v>-1.568057831596136</v>
      </c>
      <c r="F30">
        <f t="shared" ca="1" si="1"/>
        <v>-1.5668357145221321</v>
      </c>
      <c r="G30" s="3">
        <f t="shared" ca="1" si="4"/>
        <v>1.0524372906243331</v>
      </c>
      <c r="H30">
        <f t="shared" ca="1" si="6"/>
        <v>-1.4887687166545045</v>
      </c>
      <c r="I30">
        <f t="shared" ca="1" si="3"/>
        <v>-0.89813146513007047</v>
      </c>
    </row>
    <row r="31" spans="1:9" x14ac:dyDescent="0.3">
      <c r="A31" s="1">
        <v>40225</v>
      </c>
      <c r="B31" t="s">
        <v>0</v>
      </c>
      <c r="C31">
        <v>269.63977490000002</v>
      </c>
      <c r="D31" s="2">
        <f t="shared" si="0"/>
        <v>1.5343561704451799E-2</v>
      </c>
      <c r="E31" s="2">
        <f t="shared" ca="1" si="5"/>
        <v>0.24463247966018961</v>
      </c>
      <c r="F31">
        <f t="shared" ca="1" si="1"/>
        <v>0.24418370492461752</v>
      </c>
      <c r="G31" s="3">
        <f t="shared" ca="1" si="4"/>
        <v>1.0818243502355693</v>
      </c>
      <c r="H31">
        <f t="shared" ca="1" si="6"/>
        <v>0.22571474275971515</v>
      </c>
      <c r="I31">
        <f t="shared" ca="1" si="3"/>
        <v>2.8157205152531763</v>
      </c>
    </row>
    <row r="32" spans="1:9" x14ac:dyDescent="0.3">
      <c r="A32" s="1">
        <v>40226</v>
      </c>
      <c r="B32" t="s">
        <v>0</v>
      </c>
      <c r="C32">
        <v>268.10055729999999</v>
      </c>
      <c r="D32" s="2">
        <f t="shared" si="0"/>
        <v>-5.7084219142775625E-3</v>
      </c>
      <c r="E32" s="2">
        <f t="shared" ca="1" si="5"/>
        <v>4.3469071202934605E-2</v>
      </c>
      <c r="F32">
        <f t="shared" ca="1" si="1"/>
        <v>4.2701852547018269E-2</v>
      </c>
      <c r="G32" s="3">
        <f t="shared" ca="1" si="4"/>
        <v>1.086302340097671</v>
      </c>
      <c r="H32">
        <f t="shared" ca="1" si="6"/>
        <v>3.9309362569520827E-2</v>
      </c>
      <c r="I32">
        <f t="shared" ca="1" si="3"/>
        <v>6.2891553670389468</v>
      </c>
    </row>
    <row r="33" spans="1:9" x14ac:dyDescent="0.3">
      <c r="A33" s="1">
        <v>40227</v>
      </c>
      <c r="B33" t="s">
        <v>0</v>
      </c>
      <c r="C33">
        <v>270.59619750000002</v>
      </c>
      <c r="D33" s="2">
        <f t="shared" si="0"/>
        <v>9.3085975841797532E-3</v>
      </c>
      <c r="E33" s="2">
        <f t="shared" ca="1" si="5"/>
        <v>1.0161626872270715</v>
      </c>
      <c r="F33">
        <f t="shared" ca="1" si="1"/>
        <v>1.0083103561575393</v>
      </c>
      <c r="G33" s="3">
        <f t="shared" ca="1" si="4"/>
        <v>1.0901494036558603</v>
      </c>
      <c r="H33">
        <f t="shared" ca="1" si="6"/>
        <v>0.92492859490279911</v>
      </c>
      <c r="I33">
        <f t="shared" ca="1" si="3"/>
        <v>-1.6637258106800459E-2</v>
      </c>
    </row>
    <row r="34" spans="1:9" x14ac:dyDescent="0.3">
      <c r="A34" s="1">
        <v>40228</v>
      </c>
      <c r="B34" t="s">
        <v>0</v>
      </c>
      <c r="C34">
        <v>269.37079260000002</v>
      </c>
      <c r="D34" s="2">
        <f t="shared" si="0"/>
        <v>-4.5285370279454897E-3</v>
      </c>
      <c r="E34" s="2">
        <f t="shared" ca="1" si="5"/>
        <v>0.81195315411892299</v>
      </c>
      <c r="F34">
        <f t="shared" ca="1" si="1"/>
        <v>0.81273226749441307</v>
      </c>
      <c r="G34" s="3">
        <f t="shared" ca="1" si="4"/>
        <v>1.1032665629658671</v>
      </c>
      <c r="H34">
        <f t="shared" ca="1" si="6"/>
        <v>0.73665992859384555</v>
      </c>
      <c r="I34">
        <f t="shared" ca="1" si="3"/>
        <v>0.41467602880465454</v>
      </c>
    </row>
    <row r="35" spans="1:9" x14ac:dyDescent="0.3">
      <c r="A35" s="1">
        <v>40231</v>
      </c>
      <c r="B35" t="s">
        <v>0</v>
      </c>
      <c r="C35">
        <v>270.38699910000003</v>
      </c>
      <c r="D35" s="2">
        <f t="shared" si="0"/>
        <v>3.772519248250561E-3</v>
      </c>
      <c r="E35" s="2">
        <f t="shared" ca="1" si="5"/>
        <v>-2.0434083085995169</v>
      </c>
      <c r="F35">
        <f t="shared" ca="1" si="1"/>
        <v>-2.0478544883374883</v>
      </c>
      <c r="G35" s="3">
        <f t="shared" ca="1" si="4"/>
        <v>1.1126586398216569</v>
      </c>
      <c r="H35">
        <f t="shared" ca="1" si="6"/>
        <v>-1.8405056277329854</v>
      </c>
      <c r="I35">
        <f t="shared" ca="1" si="3"/>
        <v>-1.4335887017051225</v>
      </c>
    </row>
    <row r="36" spans="1:9" x14ac:dyDescent="0.3">
      <c r="A36" s="1">
        <v>40232</v>
      </c>
      <c r="B36" t="s">
        <v>0</v>
      </c>
      <c r="C36">
        <v>266.53640660000002</v>
      </c>
      <c r="D36" s="2">
        <f t="shared" si="0"/>
        <v>-1.4241041591559291E-2</v>
      </c>
      <c r="E36" s="2">
        <f t="shared" ca="1" si="5"/>
        <v>-1.6473405715287628</v>
      </c>
      <c r="F36">
        <f t="shared" ca="1" si="1"/>
        <v>-1.6456455013396682</v>
      </c>
      <c r="G36" s="3">
        <f t="shared" ca="1" si="4"/>
        <v>1.1519044426266563</v>
      </c>
      <c r="H36">
        <f t="shared" ca="1" si="6"/>
        <v>-1.4286302235167596</v>
      </c>
      <c r="I36">
        <f t="shared" ca="1" si="3"/>
        <v>-0.99634030633242865</v>
      </c>
    </row>
    <row r="37" spans="1:9" x14ac:dyDescent="0.3">
      <c r="A37" s="1">
        <v>40233</v>
      </c>
      <c r="B37" t="s">
        <v>0</v>
      </c>
      <c r="C37">
        <v>264.74312980000002</v>
      </c>
      <c r="D37" s="2">
        <f t="shared" si="0"/>
        <v>-6.7280744978723698E-3</v>
      </c>
      <c r="E37" s="2">
        <f t="shared" ca="1" si="5"/>
        <v>0.57627595262636411</v>
      </c>
      <c r="F37">
        <f t="shared" ca="1" si="1"/>
        <v>0.5781730037885956</v>
      </c>
      <c r="G37" s="3">
        <f t="shared" ca="1" si="4"/>
        <v>1.1755995833171851</v>
      </c>
      <c r="H37">
        <f t="shared" ca="1" si="6"/>
        <v>0.4918111676742577</v>
      </c>
      <c r="I37">
        <f t="shared" ca="1" si="3"/>
        <v>1.0956288664171181</v>
      </c>
    </row>
    <row r="38" spans="1:9" x14ac:dyDescent="0.3">
      <c r="A38" s="1">
        <v>40234</v>
      </c>
      <c r="B38" t="s">
        <v>0</v>
      </c>
      <c r="C38">
        <v>262.2325361</v>
      </c>
      <c r="D38" s="2">
        <f t="shared" si="0"/>
        <v>-9.483130693123714E-3</v>
      </c>
      <c r="E38" s="2">
        <f t="shared" ca="1" si="5"/>
        <v>3.1955314851137637</v>
      </c>
      <c r="F38">
        <f t="shared" ca="1" si="1"/>
        <v>3.2064054139815807</v>
      </c>
      <c r="G38" s="3">
        <f t="shared" ca="1" si="4"/>
        <v>1.1802950891123787</v>
      </c>
      <c r="H38">
        <f t="shared" ca="1" si="6"/>
        <v>2.7166133652160704</v>
      </c>
      <c r="I38">
        <f t="shared" ca="1" si="3"/>
        <v>-2.3303097490690083</v>
      </c>
    </row>
    <row r="39" spans="1:9" x14ac:dyDescent="0.3">
      <c r="A39" s="1">
        <v>40235</v>
      </c>
      <c r="B39" t="s">
        <v>0</v>
      </c>
      <c r="C39">
        <v>262.41686220000003</v>
      </c>
      <c r="D39" s="2">
        <f t="shared" si="0"/>
        <v>7.0291086964788404E-4</v>
      </c>
      <c r="E39" s="2">
        <f t="shared" ca="1" si="5"/>
        <v>-0.83117834970102478</v>
      </c>
      <c r="F39">
        <f t="shared" ca="1" si="1"/>
        <v>-0.82416125808824225</v>
      </c>
      <c r="G39" s="3">
        <f t="shared" ca="1" si="4"/>
        <v>1.2552167416372957</v>
      </c>
      <c r="H39">
        <f t="shared" ca="1" si="6"/>
        <v>-0.6565888031522048</v>
      </c>
      <c r="I39">
        <f t="shared" ca="1" si="3"/>
        <v>0.38677740590789372</v>
      </c>
    </row>
    <row r="40" spans="1:9" x14ac:dyDescent="0.3">
      <c r="A40" s="1">
        <v>40238</v>
      </c>
      <c r="B40" t="s">
        <v>0</v>
      </c>
      <c r="C40">
        <v>265.35085779999997</v>
      </c>
      <c r="D40" s="2">
        <f t="shared" si="0"/>
        <v>1.1180667185037112E-2</v>
      </c>
      <c r="E40" s="2">
        <f t="shared" ca="1" si="5"/>
        <v>-0.19189642769454432</v>
      </c>
      <c r="F40">
        <f t="shared" ca="1" si="1"/>
        <v>-0.18620089725708794</v>
      </c>
      <c r="G40" s="3">
        <f t="shared" ca="1" si="4"/>
        <v>1.2602464565212914</v>
      </c>
      <c r="H40">
        <f t="shared" ca="1" si="6"/>
        <v>-0.14774959000564516</v>
      </c>
      <c r="I40">
        <f t="shared" ca="1" si="3"/>
        <v>3.3582526375948687</v>
      </c>
    </row>
    <row r="41" spans="1:9" x14ac:dyDescent="0.3">
      <c r="A41" s="1">
        <v>40239</v>
      </c>
      <c r="B41" t="s">
        <v>0</v>
      </c>
      <c r="C41">
        <v>269.52023750000001</v>
      </c>
      <c r="D41" s="2">
        <f t="shared" si="0"/>
        <v>1.5712704811162048E-2</v>
      </c>
      <c r="E41" s="2">
        <f t="shared" ca="1" si="5"/>
        <v>-1.8330764662795602</v>
      </c>
      <c r="F41">
        <f t="shared" ca="1" si="1"/>
        <v>-1.8368478551138503</v>
      </c>
      <c r="G41" s="3">
        <f t="shared" ca="1" si="4"/>
        <v>1.2612858100640767</v>
      </c>
      <c r="H41">
        <f t="shared" ca="1" si="6"/>
        <v>-1.4563295967156988</v>
      </c>
      <c r="I41">
        <f t="shared" ca="1" si="3"/>
        <v>-1.2161751344435798</v>
      </c>
    </row>
    <row r="42" spans="1:9" x14ac:dyDescent="0.3">
      <c r="A42" s="1">
        <v>40240</v>
      </c>
      <c r="B42" t="s">
        <v>0</v>
      </c>
      <c r="C42">
        <v>271.64228100000003</v>
      </c>
      <c r="D42" s="2">
        <f t="shared" si="0"/>
        <v>7.8734106191191595E-3</v>
      </c>
      <c r="E42" s="2">
        <f t="shared" ca="1" si="5"/>
        <v>0.79253634901497816</v>
      </c>
      <c r="F42">
        <f t="shared" ca="1" si="1"/>
        <v>0.78088919892823949</v>
      </c>
      <c r="G42" s="3">
        <f t="shared" ca="1" si="4"/>
        <v>1.2821380899538952</v>
      </c>
      <c r="H42">
        <f t="shared" ca="1" si="6"/>
        <v>0.60905233613043952</v>
      </c>
      <c r="I42">
        <f t="shared" ca="1" si="3"/>
        <v>0.4945423606886637</v>
      </c>
    </row>
    <row r="43" spans="1:9" x14ac:dyDescent="0.3">
      <c r="A43" s="1">
        <v>40241</v>
      </c>
      <c r="B43" t="s">
        <v>0</v>
      </c>
      <c r="C43">
        <v>276.25999519999999</v>
      </c>
      <c r="D43" s="2">
        <f t="shared" si="0"/>
        <v>1.699924688822638E-2</v>
      </c>
      <c r="E43" s="2">
        <f t="shared" ca="1" si="5"/>
        <v>1.2316446321924808</v>
      </c>
      <c r="F43">
        <f t="shared" ca="1" si="1"/>
        <v>1.219512803848493</v>
      </c>
      <c r="G43" s="3">
        <f t="shared" ca="1" si="4"/>
        <v>1.2860947539232603</v>
      </c>
      <c r="H43">
        <f t="shared" ca="1" si="6"/>
        <v>0.94822935878429049</v>
      </c>
      <c r="I43">
        <f t="shared" ca="1" si="3"/>
        <v>-0.39709718194801907</v>
      </c>
    </row>
    <row r="44" spans="1:9" x14ac:dyDescent="0.3">
      <c r="A44" s="1">
        <v>40242</v>
      </c>
      <c r="B44" t="s">
        <v>0</v>
      </c>
      <c r="C44">
        <v>281.05202600000001</v>
      </c>
      <c r="D44" s="2">
        <f t="shared" si="0"/>
        <v>1.7346090216684477E-2</v>
      </c>
      <c r="E44" s="2">
        <f t="shared" ca="1" si="5"/>
        <v>-1.1112647319762272</v>
      </c>
      <c r="F44">
        <f t="shared" ca="1" si="1"/>
        <v>-1.1212360667060888</v>
      </c>
      <c r="G44" s="3">
        <f t="shared" ca="1" si="4"/>
        <v>1.2948908334319598</v>
      </c>
      <c r="H44">
        <f t="shared" ca="1" si="6"/>
        <v>-0.86589234996310926</v>
      </c>
      <c r="I44">
        <f t="shared" ca="1" si="3"/>
        <v>-0.22910275206448072</v>
      </c>
    </row>
    <row r="45" spans="1:9" x14ac:dyDescent="0.3">
      <c r="A45" s="1">
        <v>40245</v>
      </c>
      <c r="B45" t="s">
        <v>0</v>
      </c>
      <c r="C45">
        <v>280.19026910000002</v>
      </c>
      <c r="D45" s="2">
        <f t="shared" si="0"/>
        <v>-3.0661828426029169E-3</v>
      </c>
      <c r="E45" s="2">
        <f t="shared" ca="1" si="5"/>
        <v>0.2161920205454137</v>
      </c>
      <c r="F45">
        <f t="shared" ca="1" si="1"/>
        <v>0.20043464101308447</v>
      </c>
      <c r="G45" s="3">
        <f t="shared" ca="1" si="4"/>
        <v>1.3021164913869427</v>
      </c>
      <c r="H45">
        <f t="shared" ca="1" si="6"/>
        <v>0.15392988441425279</v>
      </c>
      <c r="I45">
        <f t="shared" ca="1" si="3"/>
        <v>3.2143001120421086</v>
      </c>
    </row>
    <row r="46" spans="1:9" x14ac:dyDescent="0.3">
      <c r="A46" s="1">
        <v>40246</v>
      </c>
      <c r="B46" t="s">
        <v>0</v>
      </c>
      <c r="C46">
        <v>279.04952040000001</v>
      </c>
      <c r="D46" s="2">
        <f t="shared" si="0"/>
        <v>-4.0713358949410325E-3</v>
      </c>
      <c r="E46" s="2">
        <f t="shared" ca="1" si="5"/>
        <v>-0.6539313824337577</v>
      </c>
      <c r="F46">
        <f t="shared" ca="1" si="1"/>
        <v>-0.66381850577180024</v>
      </c>
      <c r="G46" s="3">
        <f t="shared" ca="1" si="4"/>
        <v>1.3025102018685548</v>
      </c>
      <c r="H46">
        <f t="shared" ca="1" si="6"/>
        <v>-0.50964553277164326</v>
      </c>
      <c r="I46">
        <f t="shared" ca="1" si="3"/>
        <v>0.81945538687841568</v>
      </c>
    </row>
    <row r="47" spans="1:9" x14ac:dyDescent="0.3">
      <c r="A47" s="1">
        <v>40247</v>
      </c>
      <c r="B47" t="s">
        <v>0</v>
      </c>
      <c r="C47">
        <v>287.14917389999999</v>
      </c>
      <c r="D47" s="2">
        <f t="shared" si="0"/>
        <v>2.9025864256600916E-2</v>
      </c>
      <c r="E47" s="2">
        <f t="shared" ca="1" si="5"/>
        <v>-0.11492363416934008</v>
      </c>
      <c r="F47">
        <f t="shared" ca="1" si="1"/>
        <v>-0.11180040057788988</v>
      </c>
      <c r="G47" s="3">
        <f t="shared" ca="1" si="4"/>
        <v>1.3050733460636079</v>
      </c>
      <c r="H47">
        <f t="shared" ca="1" si="6"/>
        <v>-8.5665990279477244E-2</v>
      </c>
      <c r="I47">
        <f t="shared" ca="1" si="3"/>
        <v>4.3146765917354859</v>
      </c>
    </row>
    <row r="48" spans="1:9" x14ac:dyDescent="0.3">
      <c r="A48" s="1">
        <v>40248</v>
      </c>
      <c r="B48" t="s">
        <v>0</v>
      </c>
      <c r="C48">
        <v>289.4854206</v>
      </c>
      <c r="D48" s="2">
        <f t="shared" si="0"/>
        <v>8.1360035561641713E-3</v>
      </c>
      <c r="E48" s="2">
        <f t="shared" ca="1" si="5"/>
        <v>-0.76298466454259184</v>
      </c>
      <c r="F48">
        <f t="shared" ca="1" si="1"/>
        <v>-0.76910396672922232</v>
      </c>
      <c r="G48" s="3">
        <f t="shared" ca="1" si="4"/>
        <v>1.3052704362820136</v>
      </c>
      <c r="H48">
        <f t="shared" ca="1" si="6"/>
        <v>-0.58922959208359149</v>
      </c>
      <c r="I48">
        <f t="shared" ca="1" si="3"/>
        <v>0.52494633692850112</v>
      </c>
    </row>
    <row r="49" spans="1:9" x14ac:dyDescent="0.3">
      <c r="A49" s="1">
        <v>40249</v>
      </c>
      <c r="B49" t="s">
        <v>0</v>
      </c>
      <c r="C49">
        <v>288.68842239999998</v>
      </c>
      <c r="D49" s="2">
        <f t="shared" si="0"/>
        <v>-2.7531548854796408E-3</v>
      </c>
      <c r="E49" s="2">
        <f t="shared" ca="1" si="5"/>
        <v>-0.11080354509568699</v>
      </c>
      <c r="F49">
        <f t="shared" ca="1" si="1"/>
        <v>-0.13130373000122397</v>
      </c>
      <c r="G49" s="3">
        <f t="shared" ca="1" si="4"/>
        <v>1.3085895467705657</v>
      </c>
      <c r="H49">
        <f t="shared" ca="1" si="6"/>
        <v>-0.1003398891006466</v>
      </c>
      <c r="I49">
        <f t="shared" ca="1" si="3"/>
        <v>4.0600445295988639</v>
      </c>
    </row>
    <row r="50" spans="1:9" x14ac:dyDescent="0.3">
      <c r="A50" s="1">
        <v>40252</v>
      </c>
      <c r="B50" t="s">
        <v>0</v>
      </c>
      <c r="C50">
        <v>280.53896359999999</v>
      </c>
      <c r="D50" s="2">
        <f t="shared" si="0"/>
        <v>-2.8229253990339417E-2</v>
      </c>
      <c r="E50" s="2">
        <f t="shared" ca="1" si="5"/>
        <v>1.1956206815613217</v>
      </c>
      <c r="F50">
        <f t="shared" ca="1" si="1"/>
        <v>1.191375314653683</v>
      </c>
      <c r="G50" s="3">
        <f t="shared" ca="1" si="4"/>
        <v>1.3087574987357964</v>
      </c>
      <c r="H50">
        <f t="shared" ca="1" si="6"/>
        <v>0.91031021087138031</v>
      </c>
      <c r="I50">
        <f t="shared" ca="1" si="3"/>
        <v>-0.35077817051754451</v>
      </c>
    </row>
    <row r="51" spans="1:9" x14ac:dyDescent="0.3">
      <c r="A51" s="1">
        <v>40253</v>
      </c>
      <c r="B51" t="s">
        <v>0</v>
      </c>
      <c r="C51">
        <v>281.54519099999999</v>
      </c>
      <c r="D51" s="2">
        <f t="shared" si="0"/>
        <v>3.5867652289280801E-3</v>
      </c>
      <c r="E51" s="2">
        <f t="shared" ca="1" si="5"/>
        <v>-4.9685303193850332E-2</v>
      </c>
      <c r="F51">
        <f t="shared" ca="1" si="1"/>
        <v>-3.9553934785680263E-2</v>
      </c>
      <c r="G51" s="3">
        <f t="shared" ca="1" si="4"/>
        <v>1.3164177750740498</v>
      </c>
      <c r="H51">
        <f t="shared" ca="1" si="6"/>
        <v>-3.0046642893024837E-2</v>
      </c>
      <c r="I51">
        <f t="shared" ca="1" si="3"/>
        <v>6.4519572731207653</v>
      </c>
    </row>
    <row r="52" spans="1:9" x14ac:dyDescent="0.3">
      <c r="A52" s="1">
        <v>40254</v>
      </c>
      <c r="B52" t="s">
        <v>0</v>
      </c>
      <c r="C52">
        <v>281.72451239999998</v>
      </c>
      <c r="D52" s="2">
        <f t="shared" si="0"/>
        <v>6.3691871050282681E-4</v>
      </c>
      <c r="E52" s="2">
        <f t="shared" ca="1" si="5"/>
        <v>-0.93334336406501861</v>
      </c>
      <c r="F52">
        <f t="shared" ca="1" si="1"/>
        <v>-0.916834550261029</v>
      </c>
      <c r="G52" s="3">
        <f t="shared" ca="1" si="4"/>
        <v>1.316381745499059</v>
      </c>
      <c r="H52">
        <f t="shared" ca="1" si="6"/>
        <v>-0.69648075369918172</v>
      </c>
      <c r="I52">
        <f t="shared" ca="1" si="3"/>
        <v>0.17365601344030152</v>
      </c>
    </row>
    <row r="53" spans="1:9" x14ac:dyDescent="0.3">
      <c r="A53" s="1">
        <v>40255</v>
      </c>
      <c r="B53" t="s">
        <v>0</v>
      </c>
      <c r="C53">
        <v>282.14294000000001</v>
      </c>
      <c r="D53" s="2">
        <f t="shared" si="0"/>
        <v>1.4852367528670521E-3</v>
      </c>
      <c r="E53" s="2">
        <f t="shared" ca="1" si="5"/>
        <v>0.52976738225618547</v>
      </c>
      <c r="F53">
        <f t="shared" ca="1" si="1"/>
        <v>0.52734400824474637</v>
      </c>
      <c r="G53" s="3">
        <f t="shared" ca="1" si="4"/>
        <v>1.3207595711230005</v>
      </c>
      <c r="H53">
        <f t="shared" ca="1" si="6"/>
        <v>0.39927328165894893</v>
      </c>
      <c r="I53">
        <f t="shared" ca="1" si="3"/>
        <v>1.2797964202884546</v>
      </c>
    </row>
    <row r="54" spans="1:9" x14ac:dyDescent="0.3">
      <c r="A54" s="1">
        <v>40256</v>
      </c>
      <c r="B54" t="s">
        <v>0</v>
      </c>
      <c r="C54">
        <v>278.95488510000001</v>
      </c>
      <c r="D54" s="2">
        <f t="shared" si="0"/>
        <v>-1.1299431770293446E-2</v>
      </c>
      <c r="E54" s="2">
        <f t="shared" ca="1" si="5"/>
        <v>1.2134945780926882</v>
      </c>
      <c r="F54">
        <f t="shared" ca="1" si="1"/>
        <v>1.2126551246441937</v>
      </c>
      <c r="G54" s="3">
        <f t="shared" ca="1" si="4"/>
        <v>1.3220991723087379</v>
      </c>
      <c r="H54">
        <f t="shared" ca="1" si="6"/>
        <v>0.91721948704239353</v>
      </c>
      <c r="I54">
        <f t="shared" ca="1" si="3"/>
        <v>-0.3857113707552271</v>
      </c>
    </row>
    <row r="55" spans="1:9" x14ac:dyDescent="0.3">
      <c r="A55" s="1">
        <v>40259</v>
      </c>
      <c r="B55" t="s">
        <v>0</v>
      </c>
      <c r="C55">
        <v>277.70955190000001</v>
      </c>
      <c r="D55" s="2">
        <f t="shared" si="0"/>
        <v>-4.4642817405888997E-3</v>
      </c>
      <c r="E55" s="2">
        <f t="shared" ca="1" si="5"/>
        <v>0.60526453131361202</v>
      </c>
      <c r="F55">
        <f t="shared" ca="1" si="1"/>
        <v>0.60770877934414158</v>
      </c>
      <c r="G55" s="3">
        <f t="shared" ca="1" si="4"/>
        <v>1.3295949462169006</v>
      </c>
      <c r="H55">
        <f t="shared" ca="1" si="6"/>
        <v>0.45706309359347125</v>
      </c>
      <c r="I55">
        <f t="shared" ca="1" si="3"/>
        <v>0.99606502121360918</v>
      </c>
    </row>
    <row r="56" spans="1:9" x14ac:dyDescent="0.3">
      <c r="A56" s="1">
        <v>40260</v>
      </c>
      <c r="B56" t="s">
        <v>0</v>
      </c>
      <c r="C56">
        <v>273.475414</v>
      </c>
      <c r="D56" s="2">
        <f t="shared" si="0"/>
        <v>-1.5246641215728407E-2</v>
      </c>
      <c r="E56" s="2">
        <f t="shared" ca="1" si="5"/>
        <v>1.0846558584717083</v>
      </c>
      <c r="F56">
        <f t="shared" ca="1" si="1"/>
        <v>1.0930230718530554</v>
      </c>
      <c r="G56" s="3">
        <f t="shared" ca="1" si="4"/>
        <v>1.3312380160008535</v>
      </c>
      <c r="H56">
        <f t="shared" ca="1" si="6"/>
        <v>0.82105758603302592</v>
      </c>
      <c r="I56">
        <f t="shared" ca="1" si="3"/>
        <v>-0.17808921161699767</v>
      </c>
    </row>
    <row r="57" spans="1:9" x14ac:dyDescent="0.3">
      <c r="A57" s="1">
        <v>40261</v>
      </c>
      <c r="B57" t="s">
        <v>0</v>
      </c>
      <c r="C57">
        <v>277.62486580000001</v>
      </c>
      <c r="D57" s="2">
        <f t="shared" si="0"/>
        <v>1.5173034165330886E-2</v>
      </c>
      <c r="E57" s="2">
        <f t="shared" ca="1" si="5"/>
        <v>1.1847256623602185</v>
      </c>
      <c r="F57">
        <f t="shared" ca="1" si="1"/>
        <v>1.1920515773528775</v>
      </c>
      <c r="G57" s="3">
        <f t="shared" ca="1" si="4"/>
        <v>1.3370424505260516</v>
      </c>
      <c r="H57">
        <f t="shared" ca="1" si="6"/>
        <v>0.89155851176144163</v>
      </c>
      <c r="I57">
        <f t="shared" ca="1" si="3"/>
        <v>-0.35151368942997957</v>
      </c>
    </row>
    <row r="58" spans="1:9" x14ac:dyDescent="0.3">
      <c r="A58" s="1">
        <v>40262</v>
      </c>
      <c r="B58" t="s">
        <v>0</v>
      </c>
      <c r="C58">
        <v>280.3895187</v>
      </c>
      <c r="D58" s="2">
        <f t="shared" si="0"/>
        <v>9.9582322787744593E-3</v>
      </c>
      <c r="E58" s="2">
        <f t="shared" ca="1" si="5"/>
        <v>0.64543840437256739</v>
      </c>
      <c r="F58">
        <f t="shared" ca="1" si="1"/>
        <v>0.65040836309227179</v>
      </c>
      <c r="G58" s="3">
        <f t="shared" ca="1" si="4"/>
        <v>1.3438139278614916</v>
      </c>
      <c r="H58">
        <f t="shared" ca="1" si="6"/>
        <v>0.4840018023382997</v>
      </c>
      <c r="I58">
        <f t="shared" ca="1" si="3"/>
        <v>0.8600753061871742</v>
      </c>
    </row>
    <row r="59" spans="1:9" x14ac:dyDescent="0.3">
      <c r="A59" s="1">
        <v>40263</v>
      </c>
      <c r="B59" t="s">
        <v>0</v>
      </c>
      <c r="C59">
        <v>280.29488350000003</v>
      </c>
      <c r="D59" s="2">
        <f t="shared" si="0"/>
        <v>-3.3751332945232025E-4</v>
      </c>
      <c r="E59" s="2">
        <f t="shared" ca="1" si="5"/>
        <v>-1.5376261890518801</v>
      </c>
      <c r="F59">
        <f t="shared" ca="1" si="1"/>
        <v>-1.5500435880354957</v>
      </c>
      <c r="G59" s="3">
        <f t="shared" ca="1" si="4"/>
        <v>1.3454501317895526</v>
      </c>
      <c r="H59">
        <f t="shared" ca="1" si="6"/>
        <v>-1.1520632027987674</v>
      </c>
      <c r="I59">
        <f t="shared" ca="1" si="3"/>
        <v>-0.87656615111059211</v>
      </c>
    </row>
    <row r="60" spans="1:9" x14ac:dyDescent="0.3">
      <c r="A60" s="1">
        <v>40266</v>
      </c>
      <c r="B60" t="s">
        <v>0</v>
      </c>
      <c r="C60">
        <v>280.17531559999998</v>
      </c>
      <c r="D60" s="2">
        <f t="shared" si="0"/>
        <v>-4.2657896036853475E-4</v>
      </c>
      <c r="E60" s="2">
        <f t="shared" ca="1" si="5"/>
        <v>-0.63146556910824936</v>
      </c>
      <c r="F60">
        <f t="shared" ca="1" si="1"/>
        <v>-0.6375658926527199</v>
      </c>
      <c r="G60" s="3">
        <f t="shared" ca="1" si="4"/>
        <v>1.3567760851866641</v>
      </c>
      <c r="H60">
        <f t="shared" ca="1" si="6"/>
        <v>-0.46991238982886707</v>
      </c>
      <c r="I60">
        <f t="shared" ca="1" si="3"/>
        <v>0.9001948448736945</v>
      </c>
    </row>
    <row r="61" spans="1:9" x14ac:dyDescent="0.3">
      <c r="A61" s="1">
        <v>40267</v>
      </c>
      <c r="B61" t="s">
        <v>0</v>
      </c>
      <c r="C61">
        <v>282.29735920000002</v>
      </c>
      <c r="D61" s="2">
        <f t="shared" si="0"/>
        <v>7.5739848653535013E-3</v>
      </c>
      <c r="E61" s="2">
        <f t="shared" ca="1" si="5"/>
        <v>0.84562563497178311</v>
      </c>
      <c r="F61">
        <f t="shared" ca="1" si="1"/>
        <v>0.84596299451111845</v>
      </c>
      <c r="G61" s="3">
        <f t="shared" ca="1" si="4"/>
        <v>1.3580807529146324</v>
      </c>
      <c r="H61">
        <f t="shared" ca="1" si="6"/>
        <v>0.62291067206096751</v>
      </c>
      <c r="I61">
        <f t="shared" ca="1" si="3"/>
        <v>0.33447916622676938</v>
      </c>
    </row>
    <row r="62" spans="1:9" x14ac:dyDescent="0.3">
      <c r="A62" s="1">
        <v>40268</v>
      </c>
      <c r="B62" t="s">
        <v>0</v>
      </c>
      <c r="C62">
        <v>282.50161359999998</v>
      </c>
      <c r="D62" s="2">
        <f t="shared" si="0"/>
        <v>7.2354343157443168E-4</v>
      </c>
      <c r="E62" s="2">
        <f t="shared" ca="1" si="5"/>
        <v>3.8544878351046101</v>
      </c>
      <c r="F62">
        <f t="shared" ca="1" si="1"/>
        <v>3.8524951638803766</v>
      </c>
      <c r="G62" s="3">
        <f t="shared" ca="1" si="4"/>
        <v>1.3608417163764999</v>
      </c>
      <c r="H62">
        <f t="shared" ca="1" si="6"/>
        <v>2.8309649223117428</v>
      </c>
      <c r="I62">
        <f t="shared" ca="1" si="3"/>
        <v>-2.697442101056255</v>
      </c>
    </row>
    <row r="63" spans="1:9" x14ac:dyDescent="0.3">
      <c r="A63" s="1">
        <v>40269</v>
      </c>
      <c r="B63" t="s">
        <v>0</v>
      </c>
      <c r="C63">
        <v>283.33846790000001</v>
      </c>
      <c r="D63" s="2">
        <f t="shared" si="0"/>
        <v>2.9622991859612775E-3</v>
      </c>
      <c r="E63" s="2">
        <f t="shared" ca="1" si="5"/>
        <v>3.4196218830775349</v>
      </c>
      <c r="F63">
        <f t="shared" ca="1" si="1"/>
        <v>3.4146898520673199</v>
      </c>
      <c r="G63" s="3">
        <f t="shared" ca="1" si="4"/>
        <v>1.4291947316502218</v>
      </c>
      <c r="H63">
        <f t="shared" ca="1" si="6"/>
        <v>2.3892404418007778</v>
      </c>
      <c r="I63">
        <f t="shared" ca="1" si="3"/>
        <v>-2.4561740917678572</v>
      </c>
    </row>
    <row r="64" spans="1:9" x14ac:dyDescent="0.3">
      <c r="A64" s="1">
        <v>40273</v>
      </c>
      <c r="B64" t="s">
        <v>0</v>
      </c>
      <c r="C64">
        <v>284.43933060000001</v>
      </c>
      <c r="D64" s="2">
        <f t="shared" si="0"/>
        <v>3.8853273548035347E-3</v>
      </c>
      <c r="E64" s="2">
        <f t="shared" ca="1" si="5"/>
        <v>1.5741738326139185</v>
      </c>
      <c r="F64">
        <f t="shared" ca="1" si="1"/>
        <v>1.5728400292665752</v>
      </c>
      <c r="G64" s="3">
        <f t="shared" ca="1" si="4"/>
        <v>1.4747754379736309</v>
      </c>
      <c r="H64">
        <f t="shared" ca="1" si="6"/>
        <v>1.0664945921717321</v>
      </c>
      <c r="I64">
        <f t="shared" ca="1" si="3"/>
        <v>-0.90577194428517738</v>
      </c>
    </row>
    <row r="65" spans="1:9" x14ac:dyDescent="0.3">
      <c r="A65" s="1">
        <v>40274</v>
      </c>
      <c r="B65" t="s">
        <v>0</v>
      </c>
      <c r="C65">
        <v>283.0495578</v>
      </c>
      <c r="D65" s="2">
        <f t="shared" si="0"/>
        <v>-4.8860078424049101E-3</v>
      </c>
      <c r="E65" s="2">
        <f t="shared" ca="1" si="5"/>
        <v>-0.12331991953937967</v>
      </c>
      <c r="F65">
        <f t="shared" ca="1" si="1"/>
        <v>-0.12632300380257497</v>
      </c>
      <c r="G65" s="3">
        <f t="shared" ca="1" si="4"/>
        <v>1.4816980246757774</v>
      </c>
      <c r="H65">
        <f t="shared" ca="1" si="6"/>
        <v>-8.5255566045731049E-2</v>
      </c>
      <c r="I65">
        <f t="shared" ca="1" si="3"/>
        <v>4.1363302192353206</v>
      </c>
    </row>
    <row r="66" spans="1:9" x14ac:dyDescent="0.3">
      <c r="A66" s="1">
        <v>40275</v>
      </c>
      <c r="B66" t="s">
        <v>0</v>
      </c>
      <c r="C66">
        <v>280.71828549999998</v>
      </c>
      <c r="D66" s="2">
        <f t="shared" si="0"/>
        <v>-8.2362690057522607E-3</v>
      </c>
      <c r="E66" s="2">
        <f t="shared" ca="1" si="5"/>
        <v>-0.33225670387813683</v>
      </c>
      <c r="F66">
        <f t="shared" ca="1" si="1"/>
        <v>-0.33321924571059558</v>
      </c>
      <c r="G66" s="3">
        <f t="shared" ca="1" si="4"/>
        <v>1.4793299995331071</v>
      </c>
      <c r="H66">
        <f t="shared" ca="1" si="6"/>
        <v>-0.22525011039846637</v>
      </c>
      <c r="I66">
        <f t="shared" ca="1" si="3"/>
        <v>2.1972982769642071</v>
      </c>
    </row>
    <row r="67" spans="1:9" x14ac:dyDescent="0.3">
      <c r="A67" s="1">
        <v>40276</v>
      </c>
      <c r="B67" t="s">
        <v>0</v>
      </c>
      <c r="C67">
        <v>282.68590929999999</v>
      </c>
      <c r="D67" s="2">
        <f t="shared" si="0"/>
        <v>7.0092469982687066E-3</v>
      </c>
      <c r="E67" s="2">
        <f t="shared" ca="1" si="5"/>
        <v>-1.2335717855047348</v>
      </c>
      <c r="F67">
        <f t="shared" ca="1" si="1"/>
        <v>-1.2280735137796088</v>
      </c>
      <c r="G67" s="3">
        <f t="shared" ca="1" si="4"/>
        <v>1.4773481381832165</v>
      </c>
      <c r="H67">
        <f t="shared" ca="1" si="6"/>
        <v>-0.83126886753304097</v>
      </c>
      <c r="I67">
        <f t="shared" ca="1" si="3"/>
        <v>-0.41092596086717453</v>
      </c>
    </row>
    <row r="68" spans="1:9" x14ac:dyDescent="0.3">
      <c r="A68" s="1">
        <v>40277</v>
      </c>
      <c r="B68" t="s">
        <v>0</v>
      </c>
      <c r="C68">
        <v>282.0532791</v>
      </c>
      <c r="D68" s="2">
        <f t="shared" ref="D68:D131" si="7">(C68-C67)/C67</f>
        <v>-2.2379261901187171E-3</v>
      </c>
      <c r="E68" s="2">
        <f t="shared" ca="1" si="5"/>
        <v>1.9715152180313418</v>
      </c>
      <c r="F68">
        <f t="shared" ca="1" si="1"/>
        <v>1.9745540003234625</v>
      </c>
      <c r="G68" s="3">
        <f t="shared" ca="1" si="4"/>
        <v>1.4806004272038162</v>
      </c>
      <c r="H68">
        <f t="shared" ca="1" si="6"/>
        <v>1.3336170678084303</v>
      </c>
      <c r="I68">
        <f t="shared" ca="1" si="3"/>
        <v>-1.3606863850178881</v>
      </c>
    </row>
    <row r="69" spans="1:9" x14ac:dyDescent="0.3">
      <c r="A69" s="1">
        <v>40280</v>
      </c>
      <c r="B69" t="s">
        <v>0</v>
      </c>
      <c r="C69">
        <v>285.29614350000003</v>
      </c>
      <c r="D69" s="2">
        <f t="shared" si="7"/>
        <v>1.1497346920935089E-2</v>
      </c>
      <c r="E69" s="2">
        <f t="shared" ca="1" si="5"/>
        <v>-0.25445319314869524</v>
      </c>
      <c r="F69">
        <f t="shared" ca="1" si="1"/>
        <v>-0.25815055585954838</v>
      </c>
      <c r="G69" s="3">
        <f t="shared" ca="1" si="4"/>
        <v>1.4925788634511357</v>
      </c>
      <c r="H69">
        <f t="shared" ca="1" si="6"/>
        <v>-0.17295605758656771</v>
      </c>
      <c r="I69">
        <f t="shared" ca="1" si="3"/>
        <v>2.706441051471971</v>
      </c>
    </row>
    <row r="70" spans="1:9" x14ac:dyDescent="0.3">
      <c r="A70" s="1">
        <v>40281</v>
      </c>
      <c r="B70" t="s">
        <v>0</v>
      </c>
      <c r="C70">
        <v>292.28993009999999</v>
      </c>
      <c r="D70" s="2">
        <f t="shared" si="7"/>
        <v>2.4514129473327297E-2</v>
      </c>
      <c r="E70" s="2">
        <f t="shared" ref="E70:E133" ca="1" si="8">$N$9*D69+$N$10*D68+F70</f>
        <v>1.5497876928327929</v>
      </c>
      <c r="F70">
        <f t="shared" ref="F70:F133" ca="1" si="9">G70*H70</f>
        <v>1.5477531305711583</v>
      </c>
      <c r="G70" s="3">
        <f t="shared" ca="1" si="4"/>
        <v>1.4902447673613959</v>
      </c>
      <c r="H70">
        <f t="shared" ref="H70:H133" ca="1" si="10">_xlfn.NORM.S.INV(RAND())</f>
        <v>1.0385898776290192</v>
      </c>
      <c r="I70">
        <f t="shared" ref="I70:I133" ca="1" si="11">-LN(F70^2)-(D70^2)/(F70^2)</f>
        <v>-0.87385943108112119</v>
      </c>
    </row>
    <row r="71" spans="1:9" x14ac:dyDescent="0.3">
      <c r="A71" s="1">
        <v>40282</v>
      </c>
      <c r="B71" t="s">
        <v>0</v>
      </c>
      <c r="C71">
        <v>293.4007719</v>
      </c>
      <c r="D71" s="2">
        <f t="shared" si="7"/>
        <v>3.8004792009767663E-3</v>
      </c>
      <c r="E71" s="2">
        <f t="shared" ca="1" si="8"/>
        <v>1.9340241736656927</v>
      </c>
      <c r="F71">
        <f t="shared" ca="1" si="9"/>
        <v>1.9195555474912334</v>
      </c>
      <c r="G71" s="3">
        <f t="shared" ref="G71:G134" ca="1" si="12">SQRT($N$6+$N$7*(H70^2)+$N$8*(G70^2))</f>
        <v>1.496389905528857</v>
      </c>
      <c r="H71">
        <f t="shared" ca="1" si="10"/>
        <v>1.2827910295297136</v>
      </c>
      <c r="I71">
        <f t="shared" ca="1" si="11"/>
        <v>-1.3041912670254758</v>
      </c>
    </row>
    <row r="72" spans="1:9" x14ac:dyDescent="0.3">
      <c r="A72" s="1">
        <v>40283</v>
      </c>
      <c r="B72" t="s">
        <v>0</v>
      </c>
      <c r="C72">
        <v>296.53902140000002</v>
      </c>
      <c r="D72" s="2">
        <f t="shared" si="7"/>
        <v>1.0696118758234355E-2</v>
      </c>
      <c r="E72" s="2">
        <f t="shared" ca="1" si="8"/>
        <v>0.77008262162985919</v>
      </c>
      <c r="F72">
        <f t="shared" ca="1" si="9"/>
        <v>0.75368458260423921</v>
      </c>
      <c r="G72" s="3">
        <f t="shared" ca="1" si="12"/>
        <v>1.5069444958901299</v>
      </c>
      <c r="H72">
        <f t="shared" ca="1" si="10"/>
        <v>0.5001409041008168</v>
      </c>
      <c r="I72">
        <f t="shared" ca="1" si="11"/>
        <v>0.56536124155559198</v>
      </c>
    </row>
    <row r="73" spans="1:9" x14ac:dyDescent="0.3">
      <c r="A73" s="1">
        <v>40284</v>
      </c>
      <c r="B73" t="s">
        <v>0</v>
      </c>
      <c r="C73">
        <v>274.04826029999998</v>
      </c>
      <c r="D73" s="2">
        <f t="shared" si="7"/>
        <v>-7.5844187364678614E-2</v>
      </c>
      <c r="E73" s="2">
        <f t="shared" ca="1" si="8"/>
        <v>3.5515177103114337</v>
      </c>
      <c r="F73">
        <f t="shared" ca="1" si="9"/>
        <v>3.5459619515014382</v>
      </c>
      <c r="G73" s="3">
        <f t="shared" ca="1" si="12"/>
        <v>1.5061721060409401</v>
      </c>
      <c r="H73">
        <f t="shared" ca="1" si="10"/>
        <v>2.3542873601757259</v>
      </c>
      <c r="I73">
        <f t="shared" ca="1" si="11"/>
        <v>-2.5320764398169655</v>
      </c>
    </row>
    <row r="74" spans="1:9" x14ac:dyDescent="0.3">
      <c r="A74" s="1">
        <v>40287</v>
      </c>
      <c r="B74" t="s">
        <v>0</v>
      </c>
      <c r="C74">
        <v>274.02335820000002</v>
      </c>
      <c r="D74" s="2">
        <f t="shared" si="7"/>
        <v>-9.0867571911249081E-5</v>
      </c>
      <c r="E74" s="2">
        <f t="shared" ca="1" si="8"/>
        <v>0.40875915677885932</v>
      </c>
      <c r="F74">
        <f t="shared" ca="1" si="9"/>
        <v>0.42471283448923008</v>
      </c>
      <c r="G74" s="3">
        <f t="shared" ca="1" si="12"/>
        <v>1.5470875188451791</v>
      </c>
      <c r="H74">
        <f t="shared" ca="1" si="10"/>
        <v>0.27452411664871829</v>
      </c>
      <c r="I74">
        <f t="shared" ca="1" si="11"/>
        <v>1.7126839982041056</v>
      </c>
    </row>
    <row r="75" spans="1:9" x14ac:dyDescent="0.3">
      <c r="A75" s="1">
        <v>40288</v>
      </c>
      <c r="B75" t="s">
        <v>0</v>
      </c>
      <c r="C75">
        <v>276.48414700000001</v>
      </c>
      <c r="D75" s="2">
        <f t="shared" si="7"/>
        <v>8.9802154683614448E-3</v>
      </c>
      <c r="E75" s="2">
        <f t="shared" ca="1" si="8"/>
        <v>-0.42444150106345518</v>
      </c>
      <c r="F75">
        <f t="shared" ca="1" si="9"/>
        <v>-0.37718648248121234</v>
      </c>
      <c r="G75" s="3">
        <f t="shared" ca="1" si="12"/>
        <v>1.5443695017796015</v>
      </c>
      <c r="H75">
        <f t="shared" ca="1" si="10"/>
        <v>-0.24423331466114448</v>
      </c>
      <c r="I75">
        <f t="shared" ca="1" si="11"/>
        <v>1.9494642896582965</v>
      </c>
    </row>
    <row r="76" spans="1:9" x14ac:dyDescent="0.3">
      <c r="A76" s="1">
        <v>40289</v>
      </c>
      <c r="B76" t="s">
        <v>0</v>
      </c>
      <c r="C76">
        <v>276.11552469999998</v>
      </c>
      <c r="D76" s="2">
        <f t="shared" si="7"/>
        <v>-1.3332493164609066E-3</v>
      </c>
      <c r="E76" s="2">
        <f t="shared" ca="1" si="8"/>
        <v>3.1142612774169036</v>
      </c>
      <c r="F76">
        <f t="shared" ca="1" si="9"/>
        <v>3.1116402704524195</v>
      </c>
      <c r="G76" s="3">
        <f t="shared" ca="1" si="12"/>
        <v>1.5415658497562532</v>
      </c>
      <c r="H76">
        <f t="shared" ca="1" si="10"/>
        <v>2.0184932553769408</v>
      </c>
      <c r="I76">
        <f t="shared" ca="1" si="11"/>
        <v>-2.2703001942018197</v>
      </c>
    </row>
    <row r="77" spans="1:9" x14ac:dyDescent="0.3">
      <c r="A77" s="1">
        <v>40290</v>
      </c>
      <c r="B77" t="s">
        <v>0</v>
      </c>
      <c r="C77">
        <v>272.50904270000001</v>
      </c>
      <c r="D77" s="2">
        <f t="shared" si="7"/>
        <v>-1.3061496646805429E-2</v>
      </c>
      <c r="E77" s="2">
        <f t="shared" ca="1" si="8"/>
        <v>-2.7143436807810084</v>
      </c>
      <c r="F77">
        <f t="shared" ca="1" si="9"/>
        <v>-2.7195381024280807</v>
      </c>
      <c r="G77" s="3">
        <f t="shared" ca="1" si="12"/>
        <v>1.5698428606455972</v>
      </c>
      <c r="H77">
        <f t="shared" ca="1" si="10"/>
        <v>-1.7323632642503286</v>
      </c>
      <c r="I77">
        <f t="shared" ca="1" si="11"/>
        <v>-2.0009471684454159</v>
      </c>
    </row>
    <row r="78" spans="1:9" x14ac:dyDescent="0.3">
      <c r="A78" s="1">
        <v>40291</v>
      </c>
      <c r="B78" t="s">
        <v>0</v>
      </c>
      <c r="C78">
        <v>271.47791310000002</v>
      </c>
      <c r="D78" s="2">
        <f t="shared" si="7"/>
        <v>-3.7838362712063708E-3</v>
      </c>
      <c r="E78" s="2">
        <f t="shared" ca="1" si="8"/>
        <v>-1.519522255496816</v>
      </c>
      <c r="F78">
        <f t="shared" ca="1" si="9"/>
        <v>-1.5147975586481695</v>
      </c>
      <c r="G78" s="3">
        <f t="shared" ca="1" si="12"/>
        <v>1.5891021174020283</v>
      </c>
      <c r="H78">
        <f t="shared" ca="1" si="10"/>
        <v>-0.95324116811615789</v>
      </c>
      <c r="I78">
        <f t="shared" ca="1" si="11"/>
        <v>-0.83056985033792508</v>
      </c>
    </row>
    <row r="79" spans="1:9" x14ac:dyDescent="0.3">
      <c r="A79" s="1">
        <v>40294</v>
      </c>
      <c r="B79" t="s">
        <v>0</v>
      </c>
      <c r="C79">
        <v>264.82781629999999</v>
      </c>
      <c r="D79" s="2">
        <f t="shared" si="7"/>
        <v>-2.4495903641157127E-2</v>
      </c>
      <c r="E79" s="2">
        <f t="shared" ca="1" si="8"/>
        <v>-0.51789041902190758</v>
      </c>
      <c r="F79">
        <f t="shared" ca="1" si="9"/>
        <v>-0.50862885898395738</v>
      </c>
      <c r="G79" s="3">
        <f t="shared" ca="1" si="12"/>
        <v>1.5921239976719568</v>
      </c>
      <c r="H79">
        <f t="shared" ca="1" si="10"/>
        <v>-0.31946560677917496</v>
      </c>
      <c r="I79">
        <f t="shared" ca="1" si="11"/>
        <v>1.3497539216280883</v>
      </c>
    </row>
    <row r="80" spans="1:9" x14ac:dyDescent="0.3">
      <c r="A80" s="1">
        <v>40295</v>
      </c>
      <c r="B80" t="s">
        <v>0</v>
      </c>
      <c r="C80">
        <v>263.54262699999998</v>
      </c>
      <c r="D80" s="2">
        <f t="shared" si="7"/>
        <v>-4.8529241299340546E-3</v>
      </c>
      <c r="E80" s="2">
        <f t="shared" ca="1" si="8"/>
        <v>0.67933965613129266</v>
      </c>
      <c r="F80">
        <f t="shared" ca="1" si="9"/>
        <v>0.68899967038312149</v>
      </c>
      <c r="G80" s="3">
        <f t="shared" ca="1" si="12"/>
        <v>1.5890048962482126</v>
      </c>
      <c r="H80">
        <f t="shared" ca="1" si="10"/>
        <v>0.43360449801628259</v>
      </c>
      <c r="I80">
        <f t="shared" ca="1" si="11"/>
        <v>0.74497936276387822</v>
      </c>
    </row>
    <row r="81" spans="1:9" x14ac:dyDescent="0.3">
      <c r="A81" s="1">
        <v>40296</v>
      </c>
      <c r="B81" t="s">
        <v>0</v>
      </c>
      <c r="C81">
        <v>263.60738579999997</v>
      </c>
      <c r="D81" s="2">
        <f t="shared" si="7"/>
        <v>2.4572419550175005E-4</v>
      </c>
      <c r="E81" s="2">
        <f t="shared" ca="1" si="8"/>
        <v>-0.52068644773319472</v>
      </c>
      <c r="F81">
        <f t="shared" ca="1" si="9"/>
        <v>-0.50398595516717315</v>
      </c>
      <c r="G81" s="3">
        <f t="shared" ca="1" si="12"/>
        <v>1.5865787345571991</v>
      </c>
      <c r="H81">
        <f t="shared" ca="1" si="10"/>
        <v>-0.31765581133156395</v>
      </c>
      <c r="I81">
        <f t="shared" ca="1" si="11"/>
        <v>1.3704135183453967</v>
      </c>
    </row>
    <row r="82" spans="1:9" x14ac:dyDescent="0.3">
      <c r="A82" s="1">
        <v>40297</v>
      </c>
      <c r="B82" t="s">
        <v>0</v>
      </c>
      <c r="C82">
        <v>265.00713769999999</v>
      </c>
      <c r="D82" s="2">
        <f t="shared" si="7"/>
        <v>5.3099874108307804E-3</v>
      </c>
      <c r="E82" s="2">
        <f t="shared" ca="1" si="8"/>
        <v>-0.30383306362977391</v>
      </c>
      <c r="F82">
        <f t="shared" ca="1" si="9"/>
        <v>-0.30088443026282524</v>
      </c>
      <c r="G82" s="3">
        <f t="shared" ca="1" si="12"/>
        <v>1.5835250441497259</v>
      </c>
      <c r="H82">
        <f t="shared" ca="1" si="10"/>
        <v>-0.1900092653251248</v>
      </c>
      <c r="I82">
        <f t="shared" ca="1" si="11"/>
        <v>2.4017466317154232</v>
      </c>
    </row>
    <row r="83" spans="1:9" x14ac:dyDescent="0.3">
      <c r="A83" s="1">
        <v>40298</v>
      </c>
      <c r="B83" t="s">
        <v>0</v>
      </c>
      <c r="C83">
        <v>261.86888759999999</v>
      </c>
      <c r="D83" s="2">
        <f t="shared" si="7"/>
        <v>-1.1842134243012857E-2</v>
      </c>
      <c r="E83" s="2">
        <f t="shared" ca="1" si="8"/>
        <v>0.2248433324297657</v>
      </c>
      <c r="F83">
        <f t="shared" ca="1" si="9"/>
        <v>0.22310706604896369</v>
      </c>
      <c r="G83" s="3">
        <f t="shared" ca="1" si="12"/>
        <v>1.5800194279452906</v>
      </c>
      <c r="H83">
        <f t="shared" ca="1" si="10"/>
        <v>0.14120526754477916</v>
      </c>
      <c r="I83">
        <f t="shared" ca="1" si="11"/>
        <v>2.9973897104681844</v>
      </c>
    </row>
    <row r="84" spans="1:9" x14ac:dyDescent="0.3">
      <c r="A84" s="1">
        <v>40301</v>
      </c>
      <c r="B84" t="s">
        <v>0</v>
      </c>
      <c r="C84">
        <v>264.3097487</v>
      </c>
      <c r="D84" s="2">
        <f t="shared" si="7"/>
        <v>9.3209282033090458E-3</v>
      </c>
      <c r="E84" s="2">
        <f t="shared" ca="1" si="8"/>
        <v>-1.1408494014307484</v>
      </c>
      <c r="F84">
        <f t="shared" ca="1" si="9"/>
        <v>-1.1406249978826335</v>
      </c>
      <c r="G84" s="3">
        <f t="shared" ca="1" si="12"/>
        <v>1.5764365537381839</v>
      </c>
      <c r="H84">
        <f t="shared" ca="1" si="10"/>
        <v>-0.72354640291604755</v>
      </c>
      <c r="I84">
        <f t="shared" ca="1" si="11"/>
        <v>-0.26321948973363668</v>
      </c>
    </row>
    <row r="85" spans="1:9" x14ac:dyDescent="0.3">
      <c r="A85" s="1">
        <v>40302</v>
      </c>
      <c r="B85" t="s">
        <v>0</v>
      </c>
      <c r="C85">
        <v>252.2399801</v>
      </c>
      <c r="D85" s="2">
        <f t="shared" si="7"/>
        <v>-4.5665241858708648E-2</v>
      </c>
      <c r="E85" s="2">
        <f t="shared" ca="1" si="8"/>
        <v>2.6292081503657991</v>
      </c>
      <c r="F85">
        <f t="shared" ca="1" si="9"/>
        <v>2.6338030295886226</v>
      </c>
      <c r="G85" s="3">
        <f t="shared" ca="1" si="12"/>
        <v>1.5767436477595649</v>
      </c>
      <c r="H85">
        <f t="shared" ca="1" si="10"/>
        <v>1.6704066214765223</v>
      </c>
      <c r="I85">
        <f t="shared" ca="1" si="11"/>
        <v>-1.9371582521809547</v>
      </c>
    </row>
    <row r="86" spans="1:9" x14ac:dyDescent="0.3">
      <c r="A86" s="1">
        <v>40303</v>
      </c>
      <c r="B86" t="s">
        <v>0</v>
      </c>
      <c r="C86">
        <v>253.92864259999999</v>
      </c>
      <c r="D86" s="2">
        <f t="shared" si="7"/>
        <v>6.6946663226445146E-3</v>
      </c>
      <c r="E86" s="2">
        <f t="shared" ca="1" si="8"/>
        <v>-1.4338417499497869</v>
      </c>
      <c r="F86">
        <f t="shared" ca="1" si="9"/>
        <v>-1.4260300642045447</v>
      </c>
      <c r="G86" s="3">
        <f t="shared" ca="1" si="12"/>
        <v>1.594227057770766</v>
      </c>
      <c r="H86">
        <f t="shared" ca="1" si="10"/>
        <v>-0.8944962119753419</v>
      </c>
      <c r="I86">
        <f t="shared" ca="1" si="11"/>
        <v>-0.70981084876210576</v>
      </c>
    </row>
    <row r="87" spans="1:9" x14ac:dyDescent="0.3">
      <c r="A87" s="1">
        <v>40304</v>
      </c>
      <c r="B87" t="s">
        <v>0</v>
      </c>
      <c r="C87">
        <v>248.40434149999999</v>
      </c>
      <c r="D87" s="2">
        <f t="shared" si="7"/>
        <v>-2.1755328754708991E-2</v>
      </c>
      <c r="E87" s="2">
        <f t="shared" ca="1" si="8"/>
        <v>-1.3478107474781025</v>
      </c>
      <c r="F87">
        <f t="shared" ca="1" si="9"/>
        <v>-1.3213712703059568</v>
      </c>
      <c r="G87" s="3">
        <f t="shared" ca="1" si="12"/>
        <v>1.5963441608005668</v>
      </c>
      <c r="H87">
        <f t="shared" ca="1" si="10"/>
        <v>-0.82774836576799893</v>
      </c>
      <c r="I87">
        <f t="shared" ca="1" si="11"/>
        <v>-0.55761114711238069</v>
      </c>
    </row>
    <row r="88" spans="1:9" x14ac:dyDescent="0.3">
      <c r="A88" s="1">
        <v>40305</v>
      </c>
      <c r="B88" t="s">
        <v>0</v>
      </c>
      <c r="C88">
        <v>245.64966720000001</v>
      </c>
      <c r="D88" s="2">
        <f t="shared" si="7"/>
        <v>-1.1089477274695607E-2</v>
      </c>
      <c r="E88" s="2">
        <f t="shared" ca="1" si="8"/>
        <v>0.84797997285066362</v>
      </c>
      <c r="F88">
        <f t="shared" ca="1" si="9"/>
        <v>0.85029791342193162</v>
      </c>
      <c r="G88" s="3">
        <f t="shared" ca="1" si="12"/>
        <v>1.5975615708397302</v>
      </c>
      <c r="H88">
        <f t="shared" ca="1" si="10"/>
        <v>0.53224735055124506</v>
      </c>
      <c r="I88">
        <f t="shared" ca="1" si="11"/>
        <v>0.32416691860253577</v>
      </c>
    </row>
    <row r="89" spans="1:9" x14ac:dyDescent="0.3">
      <c r="A89" s="1">
        <v>40308</v>
      </c>
      <c r="B89" t="s">
        <v>0</v>
      </c>
      <c r="C89">
        <v>259.85145890000001</v>
      </c>
      <c r="D89" s="2">
        <f t="shared" si="7"/>
        <v>5.7813193324774026E-2</v>
      </c>
      <c r="E89" s="2">
        <f t="shared" ca="1" si="8"/>
        <v>-0.58703348778016995</v>
      </c>
      <c r="F89">
        <f t="shared" ca="1" si="9"/>
        <v>-0.57018001752979197</v>
      </c>
      <c r="G89" s="3">
        <f t="shared" ca="1" si="12"/>
        <v>1.5957355000298155</v>
      </c>
      <c r="H89">
        <f t="shared" ca="1" si="10"/>
        <v>-0.35731486673019336</v>
      </c>
      <c r="I89">
        <f t="shared" ca="1" si="11"/>
        <v>1.1133254240773738</v>
      </c>
    </row>
    <row r="90" spans="1:9" x14ac:dyDescent="0.3">
      <c r="A90" s="1">
        <v>40309</v>
      </c>
      <c r="B90" t="s">
        <v>0</v>
      </c>
      <c r="C90">
        <v>253.57497369999999</v>
      </c>
      <c r="D90" s="2">
        <f t="shared" si="7"/>
        <v>-2.4154127233187623E-2</v>
      </c>
      <c r="E90" s="2">
        <f t="shared" ca="1" si="8"/>
        <v>-2.1733168035693371</v>
      </c>
      <c r="F90">
        <f t="shared" ca="1" si="9"/>
        <v>-2.1836493189488588</v>
      </c>
      <c r="G90" s="3">
        <f t="shared" ca="1" si="12"/>
        <v>1.5927615160327382</v>
      </c>
      <c r="H90">
        <f t="shared" ca="1" si="10"/>
        <v>-1.3709832243987841</v>
      </c>
      <c r="I90">
        <f t="shared" ca="1" si="11"/>
        <v>-1.5621173071312271</v>
      </c>
    </row>
    <row r="91" spans="1:9" x14ac:dyDescent="0.3">
      <c r="A91" s="1">
        <v>40310</v>
      </c>
      <c r="B91" t="s">
        <v>0</v>
      </c>
      <c r="C91">
        <v>251.7518049</v>
      </c>
      <c r="D91" s="2">
        <f t="shared" si="7"/>
        <v>-7.1898609448618105E-3</v>
      </c>
      <c r="E91" s="2">
        <f t="shared" ca="1" si="8"/>
        <v>0.19068479213592909</v>
      </c>
      <c r="F91">
        <f t="shared" ca="1" si="9"/>
        <v>0.16188663355622093</v>
      </c>
      <c r="G91" s="3">
        <f t="shared" ca="1" si="12"/>
        <v>1.6030167799646742</v>
      </c>
      <c r="H91">
        <f t="shared" ca="1" si="10"/>
        <v>0.1009887329811909</v>
      </c>
      <c r="I91">
        <f t="shared" ca="1" si="11"/>
        <v>3.6397454541427838</v>
      </c>
    </row>
    <row r="92" spans="1:9" x14ac:dyDescent="0.3">
      <c r="A92" s="1">
        <v>40311</v>
      </c>
      <c r="B92" t="s">
        <v>0</v>
      </c>
      <c r="C92">
        <v>254.48656639999999</v>
      </c>
      <c r="D92" s="2">
        <f t="shared" si="7"/>
        <v>1.0862927084420639E-2</v>
      </c>
      <c r="E92" s="2">
        <f t="shared" ca="1" si="8"/>
        <v>1.9987910260591857</v>
      </c>
      <c r="F92">
        <f t="shared" ca="1" si="9"/>
        <v>2.0159754893795911</v>
      </c>
      <c r="G92" s="3">
        <f t="shared" ca="1" si="12"/>
        <v>1.5990623620608577</v>
      </c>
      <c r="H92">
        <f t="shared" ca="1" si="10"/>
        <v>1.2607234947243831</v>
      </c>
      <c r="I92">
        <f t="shared" ca="1" si="11"/>
        <v>-1.4022354192725701</v>
      </c>
    </row>
    <row r="93" spans="1:9" x14ac:dyDescent="0.3">
      <c r="A93" s="1">
        <v>40312</v>
      </c>
      <c r="B93" t="s">
        <v>0</v>
      </c>
      <c r="C93">
        <v>252.8178163</v>
      </c>
      <c r="D93" s="2">
        <f t="shared" si="7"/>
        <v>-6.5573209761377125E-3</v>
      </c>
      <c r="E93" s="2">
        <f t="shared" ca="1" si="8"/>
        <v>-1.6485605143614033</v>
      </c>
      <c r="F93">
        <f t="shared" ca="1" si="9"/>
        <v>-1.6473223611339205</v>
      </c>
      <c r="G93" s="3">
        <f t="shared" ca="1" si="12"/>
        <v>1.6070132740403289</v>
      </c>
      <c r="H93">
        <f t="shared" ca="1" si="10"/>
        <v>-1.0250832321952432</v>
      </c>
      <c r="I93">
        <f t="shared" ca="1" si="11"/>
        <v>-0.99831816171347476</v>
      </c>
    </row>
    <row r="94" spans="1:9" x14ac:dyDescent="0.3">
      <c r="A94" s="1">
        <v>40315</v>
      </c>
      <c r="B94" t="s">
        <v>0</v>
      </c>
      <c r="C94">
        <v>253.03699370000001</v>
      </c>
      <c r="D94" s="2">
        <f t="shared" si="7"/>
        <v>8.6693811064298245E-4</v>
      </c>
      <c r="E94" s="2">
        <f t="shared" ca="1" si="8"/>
        <v>2.3982760549847812</v>
      </c>
      <c r="F94">
        <f t="shared" ca="1" si="9"/>
        <v>2.3934669126595662</v>
      </c>
      <c r="G94" s="3">
        <f t="shared" ca="1" si="12"/>
        <v>1.6107905302756733</v>
      </c>
      <c r="H94">
        <f t="shared" ca="1" si="10"/>
        <v>1.4858958180303832</v>
      </c>
      <c r="I94">
        <f t="shared" ca="1" si="11"/>
        <v>-1.7454859430431953</v>
      </c>
    </row>
    <row r="95" spans="1:9" x14ac:dyDescent="0.3">
      <c r="A95" s="1">
        <v>40316</v>
      </c>
      <c r="B95" t="s">
        <v>0</v>
      </c>
      <c r="C95">
        <v>248.25491160000001</v>
      </c>
      <c r="D95" s="2">
        <f t="shared" si="7"/>
        <v>-1.8898746898920325E-2</v>
      </c>
      <c r="E95" s="2">
        <f t="shared" ca="1" si="8"/>
        <v>-0.89455723162634615</v>
      </c>
      <c r="F95">
        <f t="shared" ca="1" si="9"/>
        <v>-0.89073250049236552</v>
      </c>
      <c r="G95" s="3">
        <f t="shared" ca="1" si="12"/>
        <v>1.6230920848439083</v>
      </c>
      <c r="H95">
        <f t="shared" ca="1" si="10"/>
        <v>-0.54878740942047455</v>
      </c>
      <c r="I95">
        <f t="shared" ca="1" si="11"/>
        <v>0.23097207632094838</v>
      </c>
    </row>
    <row r="96" spans="1:9" x14ac:dyDescent="0.3">
      <c r="A96" s="1">
        <v>40317</v>
      </c>
      <c r="B96" t="s">
        <v>0</v>
      </c>
      <c r="C96">
        <v>246.29226209999999</v>
      </c>
      <c r="D96" s="2">
        <f t="shared" si="7"/>
        <v>-7.9057831619554798E-3</v>
      </c>
      <c r="E96" s="2">
        <f t="shared" ca="1" si="8"/>
        <v>0.62523653526339662</v>
      </c>
      <c r="F96">
        <f t="shared" ca="1" si="9"/>
        <v>0.63033164895991556</v>
      </c>
      <c r="G96" s="3">
        <f t="shared" ca="1" si="12"/>
        <v>1.6210396444728459</v>
      </c>
      <c r="H96">
        <f t="shared" ca="1" si="10"/>
        <v>0.38884406751501521</v>
      </c>
      <c r="I96">
        <f t="shared" ca="1" si="11"/>
        <v>0.92286103410485842</v>
      </c>
    </row>
    <row r="97" spans="1:9" x14ac:dyDescent="0.3">
      <c r="A97" s="1">
        <v>40318</v>
      </c>
      <c r="B97" t="s">
        <v>0</v>
      </c>
      <c r="C97">
        <v>236.61850870000001</v>
      </c>
      <c r="D97" s="2">
        <f t="shared" si="7"/>
        <v>-3.9277536847959225E-2</v>
      </c>
      <c r="E97" s="2">
        <f t="shared" ca="1" si="8"/>
        <v>-0.76086359886297616</v>
      </c>
      <c r="F97">
        <f t="shared" ca="1" si="9"/>
        <v>-0.74673818025867322</v>
      </c>
      <c r="G97" s="3">
        <f t="shared" ca="1" si="12"/>
        <v>1.6179023872355325</v>
      </c>
      <c r="H97">
        <f t="shared" ca="1" si="10"/>
        <v>-0.46154711566660411</v>
      </c>
      <c r="I97">
        <f t="shared" ca="1" si="11"/>
        <v>0.58131466609387272</v>
      </c>
    </row>
    <row r="98" spans="1:9" x14ac:dyDescent="0.3">
      <c r="A98" s="1">
        <v>40319</v>
      </c>
      <c r="B98" t="s">
        <v>0</v>
      </c>
      <c r="C98">
        <v>235.14403390000001</v>
      </c>
      <c r="D98" s="2">
        <f t="shared" si="7"/>
        <v>-6.2314432125401857E-3</v>
      </c>
      <c r="E98" s="2">
        <f t="shared" ca="1" si="8"/>
        <v>1.8331963532552127</v>
      </c>
      <c r="F98">
        <f t="shared" ca="1" si="9"/>
        <v>1.8498304624013484</v>
      </c>
      <c r="G98" s="3">
        <f t="shared" ca="1" si="12"/>
        <v>1.6152672222908921</v>
      </c>
      <c r="H98">
        <f t="shared" ca="1" si="10"/>
        <v>1.1452163684580816</v>
      </c>
      <c r="I98">
        <f t="shared" ca="1" si="11"/>
        <v>-1.2301993337371653</v>
      </c>
    </row>
    <row r="99" spans="1:9" x14ac:dyDescent="0.3">
      <c r="A99" s="1">
        <v>40322</v>
      </c>
      <c r="B99" t="s">
        <v>0</v>
      </c>
      <c r="C99">
        <v>237.6894944</v>
      </c>
      <c r="D99" s="2">
        <f t="shared" si="7"/>
        <v>1.0825111986819539E-2</v>
      </c>
      <c r="E99" s="2">
        <f t="shared" ca="1" si="8"/>
        <v>-0.63215089571879257</v>
      </c>
      <c r="F99">
        <f t="shared" ca="1" si="9"/>
        <v>-0.60583490221852132</v>
      </c>
      <c r="G99" s="3">
        <f t="shared" ca="1" si="12"/>
        <v>1.6208340924251081</v>
      </c>
      <c r="H99">
        <f t="shared" ca="1" si="10"/>
        <v>-0.37377971320436942</v>
      </c>
      <c r="I99">
        <f t="shared" ca="1" si="11"/>
        <v>1.0019762686219496</v>
      </c>
    </row>
    <row r="100" spans="1:9" x14ac:dyDescent="0.3">
      <c r="A100" s="1">
        <v>40323</v>
      </c>
      <c r="B100" t="s">
        <v>0</v>
      </c>
      <c r="C100">
        <v>237.64466400000001</v>
      </c>
      <c r="D100" s="2">
        <f t="shared" si="7"/>
        <v>-1.8860909319177318E-4</v>
      </c>
      <c r="E100" s="2">
        <f t="shared" ca="1" si="8"/>
        <v>-0.36981896362315592</v>
      </c>
      <c r="F100">
        <f t="shared" ca="1" si="9"/>
        <v>-0.36916633879738237</v>
      </c>
      <c r="G100" s="3">
        <f t="shared" ca="1" si="12"/>
        <v>1.6176142305999004</v>
      </c>
      <c r="H100">
        <f t="shared" ca="1" si="10"/>
        <v>-0.22821654991281523</v>
      </c>
      <c r="I100">
        <f t="shared" ca="1" si="11"/>
        <v>1.9930156467053284</v>
      </c>
    </row>
    <row r="101" spans="1:9" x14ac:dyDescent="0.3">
      <c r="A101" s="1">
        <v>40324</v>
      </c>
      <c r="B101" t="s">
        <v>0</v>
      </c>
      <c r="C101">
        <v>236.84765039999999</v>
      </c>
      <c r="D101" s="2">
        <f t="shared" si="7"/>
        <v>-3.3538038960555573E-3</v>
      </c>
      <c r="E101" s="2">
        <f t="shared" ca="1" si="8"/>
        <v>0.36577681043809496</v>
      </c>
      <c r="F101">
        <f t="shared" ca="1" si="9"/>
        <v>0.35909228566490548</v>
      </c>
      <c r="G101" s="3">
        <f t="shared" ca="1" si="12"/>
        <v>1.6137848408958124</v>
      </c>
      <c r="H101">
        <f t="shared" ca="1" si="10"/>
        <v>0.22251558978926411</v>
      </c>
      <c r="I101">
        <f t="shared" ca="1" si="11"/>
        <v>2.0482644913319317</v>
      </c>
    </row>
    <row r="102" spans="1:9" x14ac:dyDescent="0.3">
      <c r="A102" s="1">
        <v>40325</v>
      </c>
      <c r="B102" t="s">
        <v>0</v>
      </c>
      <c r="C102">
        <v>244.31467359999999</v>
      </c>
      <c r="D102" s="2">
        <f t="shared" si="7"/>
        <v>3.1526693160727252E-2</v>
      </c>
      <c r="E102" s="2">
        <f t="shared" ca="1" si="8"/>
        <v>3.2269593093807512</v>
      </c>
      <c r="F102">
        <f t="shared" ca="1" si="9"/>
        <v>3.2280767440564575</v>
      </c>
      <c r="G102" s="3">
        <f t="shared" ca="1" si="12"/>
        <v>1.6099859096395033</v>
      </c>
      <c r="H102">
        <f t="shared" ca="1" si="10"/>
        <v>2.0050341588264371</v>
      </c>
      <c r="I102">
        <f t="shared" ca="1" si="11"/>
        <v>-2.3438684318277554</v>
      </c>
    </row>
    <row r="103" spans="1:9" x14ac:dyDescent="0.3">
      <c r="A103" s="1">
        <v>40326</v>
      </c>
      <c r="B103" t="s">
        <v>0</v>
      </c>
      <c r="C103">
        <v>241.90867890000001</v>
      </c>
      <c r="D103" s="2">
        <f t="shared" si="7"/>
        <v>-9.8479336690973918E-3</v>
      </c>
      <c r="E103" s="2">
        <f t="shared" ca="1" si="8"/>
        <v>1.8609907850120526</v>
      </c>
      <c r="F103">
        <f t="shared" ca="1" si="9"/>
        <v>1.853679017267251</v>
      </c>
      <c r="G103" s="3">
        <f t="shared" ca="1" si="12"/>
        <v>1.6356765893422387</v>
      </c>
      <c r="H103">
        <f t="shared" ca="1" si="10"/>
        <v>1.1332796650300403</v>
      </c>
      <c r="I103">
        <f t="shared" ca="1" si="11"/>
        <v>-1.2343728687886411</v>
      </c>
    </row>
    <row r="104" spans="1:9" x14ac:dyDescent="0.3">
      <c r="A104" s="1">
        <v>40330</v>
      </c>
      <c r="B104" t="s">
        <v>0</v>
      </c>
      <c r="C104">
        <v>240.28477470000001</v>
      </c>
      <c r="D104" s="2">
        <f t="shared" si="7"/>
        <v>-6.712881106143721E-3</v>
      </c>
      <c r="E104" s="2">
        <f t="shared" ca="1" si="8"/>
        <v>0.77431803417728451</v>
      </c>
      <c r="F104">
        <f t="shared" ca="1" si="9"/>
        <v>0.75762277993736793</v>
      </c>
      <c r="G104" s="3">
        <f t="shared" ca="1" si="12"/>
        <v>1.6406659627531932</v>
      </c>
      <c r="H104">
        <f t="shared" ca="1" si="10"/>
        <v>0.46177759345114044</v>
      </c>
      <c r="I104">
        <f t="shared" ca="1" si="11"/>
        <v>0.55506083038530574</v>
      </c>
    </row>
    <row r="105" spans="1:9" x14ac:dyDescent="0.3">
      <c r="A105" s="1">
        <v>40331</v>
      </c>
      <c r="B105" t="s">
        <v>0</v>
      </c>
      <c r="C105">
        <v>245.7642458</v>
      </c>
      <c r="D105" s="2">
        <f t="shared" si="7"/>
        <v>2.2804071156157124E-2</v>
      </c>
      <c r="E105" s="2">
        <f t="shared" ca="1" si="8"/>
        <v>-2.8742293063344682</v>
      </c>
      <c r="F105">
        <f t="shared" ca="1" si="9"/>
        <v>-2.8660954814069988</v>
      </c>
      <c r="G105" s="3">
        <f t="shared" ca="1" si="12"/>
        <v>1.6377228166860531</v>
      </c>
      <c r="H105">
        <f t="shared" ca="1" si="10"/>
        <v>-1.750049185494386</v>
      </c>
      <c r="I105">
        <f t="shared" ca="1" si="11"/>
        <v>-2.1059645939275016</v>
      </c>
    </row>
    <row r="106" spans="1:9" x14ac:dyDescent="0.3">
      <c r="A106" s="1">
        <v>40332</v>
      </c>
      <c r="B106" t="s">
        <v>0</v>
      </c>
      <c r="C106">
        <v>251.8564193</v>
      </c>
      <c r="D106" s="2">
        <f t="shared" si="7"/>
        <v>2.4788689177178927E-2</v>
      </c>
      <c r="E106" s="2">
        <f t="shared" ca="1" si="8"/>
        <v>1.9584353704756305</v>
      </c>
      <c r="F106">
        <f t="shared" ca="1" si="9"/>
        <v>1.9558160734497358</v>
      </c>
      <c r="G106" s="3">
        <f t="shared" ca="1" si="12"/>
        <v>1.6556348967056551</v>
      </c>
      <c r="H106">
        <f t="shared" ca="1" si="10"/>
        <v>1.1813088002320888</v>
      </c>
      <c r="I106">
        <f t="shared" ca="1" si="11"/>
        <v>-1.341775709466053</v>
      </c>
    </row>
    <row r="107" spans="1:9" x14ac:dyDescent="0.3">
      <c r="A107" s="1">
        <v>40333</v>
      </c>
      <c r="B107" t="s">
        <v>0</v>
      </c>
      <c r="C107">
        <v>248.4292591</v>
      </c>
      <c r="D107" s="2">
        <f t="shared" si="7"/>
        <v>-1.3607595190646003E-2</v>
      </c>
      <c r="E107" s="2">
        <f t="shared" ca="1" si="8"/>
        <v>-2.9746688116208917</v>
      </c>
      <c r="F107">
        <f t="shared" ca="1" si="9"/>
        <v>-2.9962599618536223</v>
      </c>
      <c r="G107" s="3">
        <f t="shared" ca="1" si="12"/>
        <v>1.6610664507384594</v>
      </c>
      <c r="H107">
        <f t="shared" ca="1" si="10"/>
        <v>-1.8038170360502896</v>
      </c>
      <c r="I107">
        <f t="shared" ca="1" si="11"/>
        <v>-2.1947502885360493</v>
      </c>
    </row>
    <row r="108" spans="1:9" x14ac:dyDescent="0.3">
      <c r="A108" s="1">
        <v>40336</v>
      </c>
      <c r="B108" t="s">
        <v>0</v>
      </c>
      <c r="C108">
        <v>241.8538848</v>
      </c>
      <c r="D108" s="2">
        <f t="shared" si="7"/>
        <v>-2.6467793382393873E-2</v>
      </c>
      <c r="E108" s="2">
        <f t="shared" ca="1" si="8"/>
        <v>2.2025322719107105</v>
      </c>
      <c r="F108">
        <f t="shared" ca="1" si="9"/>
        <v>2.1911537516344461</v>
      </c>
      <c r="G108" s="3">
        <f t="shared" ca="1" si="12"/>
        <v>1.6797465692377709</v>
      </c>
      <c r="H108">
        <f t="shared" ca="1" si="10"/>
        <v>1.3044549646728789</v>
      </c>
      <c r="I108">
        <f t="shared" ca="1" si="11"/>
        <v>-1.5690023762499259</v>
      </c>
    </row>
    <row r="109" spans="1:9" x14ac:dyDescent="0.3">
      <c r="A109" s="1">
        <v>40337</v>
      </c>
      <c r="B109" t="s">
        <v>0</v>
      </c>
      <c r="C109">
        <v>241.48526200000001</v>
      </c>
      <c r="D109" s="2">
        <f t="shared" si="7"/>
        <v>-1.5241549678014399E-3</v>
      </c>
      <c r="E109" s="2">
        <f t="shared" ca="1" si="8"/>
        <v>1.5109931589591603</v>
      </c>
      <c r="F109">
        <f t="shared" ca="1" si="9"/>
        <v>1.5273583448226729</v>
      </c>
      <c r="G109" s="3">
        <f t="shared" ca="1" si="12"/>
        <v>1.6869179025036061</v>
      </c>
      <c r="H109">
        <f t="shared" ca="1" si="10"/>
        <v>0.90541356076420432</v>
      </c>
      <c r="I109">
        <f t="shared" ca="1" si="11"/>
        <v>-0.84708033810908134</v>
      </c>
    </row>
    <row r="110" spans="1:9" x14ac:dyDescent="0.3">
      <c r="A110" s="1">
        <v>40338</v>
      </c>
      <c r="B110" t="s">
        <v>0</v>
      </c>
      <c r="C110">
        <v>236.1253437</v>
      </c>
      <c r="D110" s="2">
        <f t="shared" si="7"/>
        <v>-2.2195633205971815E-2</v>
      </c>
      <c r="E110" s="2">
        <f t="shared" ca="1" si="8"/>
        <v>1.1143080851380003</v>
      </c>
      <c r="F110">
        <f t="shared" ca="1" si="9"/>
        <v>1.1312439430103942</v>
      </c>
      <c r="G110" s="3">
        <f t="shared" ca="1" si="12"/>
        <v>1.6876817739848271</v>
      </c>
      <c r="H110">
        <f t="shared" ca="1" si="10"/>
        <v>0.67029457830748873</v>
      </c>
      <c r="I110">
        <f t="shared" ca="1" si="11"/>
        <v>-0.24702068969630508</v>
      </c>
    </row>
    <row r="111" spans="1:9" x14ac:dyDescent="0.3">
      <c r="A111" s="1">
        <v>40339</v>
      </c>
      <c r="B111" t="s">
        <v>0</v>
      </c>
      <c r="C111">
        <v>242.59610369999999</v>
      </c>
      <c r="D111" s="2">
        <f t="shared" si="7"/>
        <v>2.7403919878338685E-2</v>
      </c>
      <c r="E111" s="2">
        <f t="shared" ca="1" si="8"/>
        <v>2.9266050792792231</v>
      </c>
      <c r="F111">
        <f t="shared" ca="1" si="9"/>
        <v>2.9341721362978275</v>
      </c>
      <c r="G111" s="3">
        <f t="shared" ca="1" si="12"/>
        <v>1.6857944359793282</v>
      </c>
      <c r="H111">
        <f t="shared" ca="1" si="10"/>
        <v>1.7405278328572009</v>
      </c>
      <c r="I111">
        <f t="shared" ca="1" si="11"/>
        <v>-2.1529379226450223</v>
      </c>
    </row>
    <row r="112" spans="1:9" x14ac:dyDescent="0.3">
      <c r="A112" s="1">
        <v>40340</v>
      </c>
      <c r="B112" t="s">
        <v>0</v>
      </c>
      <c r="C112">
        <v>243.33832319999999</v>
      </c>
      <c r="D112" s="2">
        <f t="shared" si="7"/>
        <v>3.0594864825935148E-3</v>
      </c>
      <c r="E112" s="2">
        <f t="shared" ca="1" si="8"/>
        <v>-1.0582853615180798</v>
      </c>
      <c r="F112">
        <f t="shared" ca="1" si="9"/>
        <v>-1.0526351158606746</v>
      </c>
      <c r="G112" s="3">
        <f t="shared" ca="1" si="12"/>
        <v>1.7022492467192665</v>
      </c>
      <c r="H112">
        <f t="shared" ca="1" si="10"/>
        <v>-0.6183789582456336</v>
      </c>
      <c r="I112">
        <f t="shared" ca="1" si="11"/>
        <v>-0.10260175665524982</v>
      </c>
    </row>
    <row r="113" spans="1:9" x14ac:dyDescent="0.3">
      <c r="A113" s="1">
        <v>40343</v>
      </c>
      <c r="B113" t="s">
        <v>0</v>
      </c>
      <c r="C113">
        <v>240.6932382</v>
      </c>
      <c r="D113" s="2">
        <f t="shared" si="7"/>
        <v>-1.0869989425488055E-2</v>
      </c>
      <c r="E113" s="2">
        <f t="shared" ca="1" si="8"/>
        <v>-2.0247889278625419</v>
      </c>
      <c r="F113">
        <f t="shared" ca="1" si="9"/>
        <v>-2.0427654914101141</v>
      </c>
      <c r="G113" s="3">
        <f t="shared" ca="1" si="12"/>
        <v>1.6996830717039311</v>
      </c>
      <c r="H113">
        <f t="shared" ca="1" si="10"/>
        <v>-1.2018508187895542</v>
      </c>
      <c r="I113">
        <f t="shared" ca="1" si="11"/>
        <v>-1.4286373610221217</v>
      </c>
    </row>
    <row r="114" spans="1:9" x14ac:dyDescent="0.3">
      <c r="A114" s="1">
        <v>40344</v>
      </c>
      <c r="B114" t="s">
        <v>0</v>
      </c>
      <c r="C114">
        <v>248.06561070000001</v>
      </c>
      <c r="D114" s="2">
        <f t="shared" si="7"/>
        <v>3.0629744961402125E-2</v>
      </c>
      <c r="E114" s="2">
        <f t="shared" ca="1" si="8"/>
        <v>0.65420781428763619</v>
      </c>
      <c r="F114">
        <f t="shared" ca="1" si="9"/>
        <v>0.65554373734415738</v>
      </c>
      <c r="G114" s="3">
        <f t="shared" ca="1" si="12"/>
        <v>1.704656778687311</v>
      </c>
      <c r="H114">
        <f t="shared" ca="1" si="10"/>
        <v>0.38456054353003877</v>
      </c>
      <c r="I114">
        <f t="shared" ca="1" si="11"/>
        <v>0.84239735954092099</v>
      </c>
    </row>
    <row r="115" spans="1:9" x14ac:dyDescent="0.3">
      <c r="A115" s="1">
        <v>40345</v>
      </c>
      <c r="B115" t="s">
        <v>0</v>
      </c>
      <c r="C115">
        <v>249.69949449999999</v>
      </c>
      <c r="D115" s="2">
        <f t="shared" si="7"/>
        <v>6.5864986097404999E-3</v>
      </c>
      <c r="E115" s="2">
        <f t="shared" ca="1" si="8"/>
        <v>-0.24141057545553277</v>
      </c>
      <c r="F115">
        <f t="shared" ca="1" si="9"/>
        <v>-0.24377460033675574</v>
      </c>
      <c r="G115" s="3">
        <f t="shared" ca="1" si="12"/>
        <v>1.700400702467791</v>
      </c>
      <c r="H115">
        <f t="shared" ca="1" si="10"/>
        <v>-0.14336303200943504</v>
      </c>
      <c r="I115">
        <f t="shared" ca="1" si="11"/>
        <v>2.822292483604214</v>
      </c>
    </row>
    <row r="116" spans="1:9" x14ac:dyDescent="0.3">
      <c r="A116" s="1">
        <v>40346</v>
      </c>
      <c r="B116" t="s">
        <v>0</v>
      </c>
      <c r="C116">
        <v>249.1067199</v>
      </c>
      <c r="D116" s="2">
        <f t="shared" si="7"/>
        <v>-2.3739519424617189E-3</v>
      </c>
      <c r="E116" s="2">
        <f t="shared" ca="1" si="8"/>
        <v>-1.4441588251566533</v>
      </c>
      <c r="F116">
        <f t="shared" ca="1" si="9"/>
        <v>-1.4651957324555944</v>
      </c>
      <c r="G116" s="3">
        <f t="shared" ca="1" si="12"/>
        <v>1.6952967799304506</v>
      </c>
      <c r="H116">
        <f t="shared" ca="1" si="10"/>
        <v>-0.86427093462402726</v>
      </c>
      <c r="I116">
        <f t="shared" ca="1" si="11"/>
        <v>-0.76398030377314452</v>
      </c>
    </row>
    <row r="117" spans="1:9" x14ac:dyDescent="0.3">
      <c r="A117" s="1">
        <v>40347</v>
      </c>
      <c r="B117" t="s">
        <v>0</v>
      </c>
      <c r="C117">
        <v>249.08180229999999</v>
      </c>
      <c r="D117" s="2">
        <f t="shared" si="7"/>
        <v>-1.0002781141356551E-4</v>
      </c>
      <c r="E117" s="2">
        <f t="shared" ca="1" si="8"/>
        <v>1.5903217333983908</v>
      </c>
      <c r="F117">
        <f t="shared" ca="1" si="9"/>
        <v>1.586928172891412</v>
      </c>
      <c r="G117" s="3">
        <f t="shared" ca="1" si="12"/>
        <v>1.6954130986953984</v>
      </c>
      <c r="H117">
        <f t="shared" ca="1" si="10"/>
        <v>0.93601268865537002</v>
      </c>
      <c r="I117">
        <f t="shared" ca="1" si="11"/>
        <v>-0.92360036565762238</v>
      </c>
    </row>
    <row r="118" spans="1:9" x14ac:dyDescent="0.3">
      <c r="A118" s="1">
        <v>40350</v>
      </c>
      <c r="B118" t="s">
        <v>0</v>
      </c>
      <c r="C118">
        <v>243.36821520000001</v>
      </c>
      <c r="D118" s="2">
        <f t="shared" si="7"/>
        <v>-2.2938597068277212E-2</v>
      </c>
      <c r="E118" s="2">
        <f t="shared" ca="1" si="8"/>
        <v>-1.8358061990448233</v>
      </c>
      <c r="F118">
        <f t="shared" ca="1" si="9"/>
        <v>-1.8342981221732673</v>
      </c>
      <c r="G118" s="3">
        <f t="shared" ca="1" si="12"/>
        <v>1.6964428887178675</v>
      </c>
      <c r="H118">
        <f t="shared" ca="1" si="10"/>
        <v>-1.0812613465340926</v>
      </c>
      <c r="I118">
        <f t="shared" ca="1" si="11"/>
        <v>-1.2134802117730523</v>
      </c>
    </row>
    <row r="119" spans="1:9" x14ac:dyDescent="0.3">
      <c r="A119" s="1">
        <v>40351</v>
      </c>
      <c r="B119" t="s">
        <v>0</v>
      </c>
      <c r="C119">
        <v>242.21753269999999</v>
      </c>
      <c r="D119" s="2">
        <f t="shared" si="7"/>
        <v>-4.7281544101984941E-3</v>
      </c>
      <c r="E119" s="2">
        <f t="shared" ca="1" si="8"/>
        <v>-0.57157059080924588</v>
      </c>
      <c r="F119">
        <f t="shared" ca="1" si="9"/>
        <v>-0.56466880692072219</v>
      </c>
      <c r="G119" s="3">
        <f t="shared" ca="1" si="12"/>
        <v>1.6995296420747432</v>
      </c>
      <c r="H119">
        <f t="shared" ca="1" si="10"/>
        <v>-0.33225004903791416</v>
      </c>
      <c r="I119">
        <f t="shared" ca="1" si="11"/>
        <v>1.1429616917569014</v>
      </c>
    </row>
    <row r="120" spans="1:9" x14ac:dyDescent="0.3">
      <c r="A120" s="1">
        <v>40352</v>
      </c>
      <c r="B120" t="s">
        <v>0</v>
      </c>
      <c r="C120">
        <v>240.1253662</v>
      </c>
      <c r="D120" s="2">
        <f t="shared" si="7"/>
        <v>-8.6375518595974473E-3</v>
      </c>
      <c r="E120" s="2">
        <f t="shared" ca="1" si="8"/>
        <v>3.8500810613308816</v>
      </c>
      <c r="F120">
        <f t="shared" ca="1" si="9"/>
        <v>3.8657746222181921</v>
      </c>
      <c r="G120" s="3">
        <f t="shared" ca="1" si="12"/>
        <v>1.6950735461147883</v>
      </c>
      <c r="H120">
        <f t="shared" ca="1" si="10"/>
        <v>2.2805940373966562</v>
      </c>
      <c r="I120">
        <f t="shared" ca="1" si="11"/>
        <v>-2.7043291557436282</v>
      </c>
    </row>
    <row r="121" spans="1:9" x14ac:dyDescent="0.3">
      <c r="A121" s="1">
        <v>40353</v>
      </c>
      <c r="B121" t="s">
        <v>0</v>
      </c>
      <c r="C121">
        <v>236.6633392</v>
      </c>
      <c r="D121" s="2">
        <f t="shared" si="7"/>
        <v>-1.4417581344223707E-2</v>
      </c>
      <c r="E121" s="2">
        <f t="shared" ca="1" si="8"/>
        <v>1.2576910357139717</v>
      </c>
      <c r="F121">
        <f t="shared" ca="1" si="9"/>
        <v>1.263210661307046</v>
      </c>
      <c r="G121" s="3">
        <f t="shared" ca="1" si="12"/>
        <v>1.7264834460632736</v>
      </c>
      <c r="H121">
        <f t="shared" ca="1" si="10"/>
        <v>0.73166682494837587</v>
      </c>
      <c r="I121">
        <f t="shared" ca="1" si="11"/>
        <v>-0.46744351434088538</v>
      </c>
    </row>
    <row r="122" spans="1:9" x14ac:dyDescent="0.3">
      <c r="A122" s="1">
        <v>40354</v>
      </c>
      <c r="B122" t="s">
        <v>0</v>
      </c>
      <c r="C122">
        <v>235.4578472</v>
      </c>
      <c r="D122" s="2">
        <f t="shared" si="7"/>
        <v>-5.0936997849981847E-3</v>
      </c>
      <c r="E122" s="2">
        <f t="shared" ca="1" si="8"/>
        <v>0.51644093105856659</v>
      </c>
      <c r="F122">
        <f t="shared" ca="1" si="9"/>
        <v>0.52611833057115487</v>
      </c>
      <c r="G122" s="3">
        <f t="shared" ca="1" si="12"/>
        <v>1.7246510390591314</v>
      </c>
      <c r="H122">
        <f t="shared" ca="1" si="10"/>
        <v>0.30505784570667366</v>
      </c>
      <c r="I122">
        <f t="shared" ca="1" si="11"/>
        <v>1.2843645223868396</v>
      </c>
    </row>
    <row r="123" spans="1:9" x14ac:dyDescent="0.3">
      <c r="A123" s="1">
        <v>40357</v>
      </c>
      <c r="B123" t="s">
        <v>0</v>
      </c>
      <c r="C123">
        <v>235.15897240000001</v>
      </c>
      <c r="D123" s="2">
        <f t="shared" si="7"/>
        <v>-1.2693346327341815E-3</v>
      </c>
      <c r="E123" s="2">
        <f t="shared" ca="1" si="8"/>
        <v>-3.1168511893379418</v>
      </c>
      <c r="F123">
        <f t="shared" ca="1" si="9"/>
        <v>-3.106354643805429</v>
      </c>
      <c r="G123" s="3">
        <f t="shared" ca="1" si="12"/>
        <v>1.7197566567190428</v>
      </c>
      <c r="H123">
        <f t="shared" ca="1" si="10"/>
        <v>-1.8062756911967663</v>
      </c>
      <c r="I123">
        <f t="shared" ca="1" si="11"/>
        <v>-2.2668999638584855</v>
      </c>
    </row>
    <row r="124" spans="1:9" x14ac:dyDescent="0.3">
      <c r="A124" s="1">
        <v>40358</v>
      </c>
      <c r="B124" t="s">
        <v>0</v>
      </c>
      <c r="C124">
        <v>226.28223310000001</v>
      </c>
      <c r="D124" s="2">
        <f t="shared" si="7"/>
        <v>-3.774782314025793E-2</v>
      </c>
      <c r="E124" s="2">
        <f t="shared" ca="1" si="8"/>
        <v>1.5805467047083308</v>
      </c>
      <c r="F124">
        <f t="shared" ca="1" si="9"/>
        <v>1.5840970064635718</v>
      </c>
      <c r="G124" s="3">
        <f t="shared" ca="1" si="12"/>
        <v>1.7369944675020079</v>
      </c>
      <c r="H124">
        <f t="shared" ca="1" si="10"/>
        <v>0.91197585029829153</v>
      </c>
      <c r="I124">
        <f t="shared" ca="1" si="11"/>
        <v>-0.92059689848293758</v>
      </c>
    </row>
    <row r="125" spans="1:9" x14ac:dyDescent="0.3">
      <c r="A125" s="1">
        <v>40359</v>
      </c>
      <c r="B125" t="s">
        <v>0</v>
      </c>
      <c r="C125">
        <v>221.6446061</v>
      </c>
      <c r="D125" s="2">
        <f t="shared" si="7"/>
        <v>-2.0494879056415009E-2</v>
      </c>
      <c r="E125" s="2">
        <f t="shared" ca="1" si="8"/>
        <v>0.2507996539000234</v>
      </c>
      <c r="F125">
        <f t="shared" ca="1" si="9"/>
        <v>0.2628451607008912</v>
      </c>
      <c r="G125" s="3">
        <f t="shared" ca="1" si="12"/>
        <v>1.7370645052765867</v>
      </c>
      <c r="H125">
        <f t="shared" ca="1" si="10"/>
        <v>0.15131571677531877</v>
      </c>
      <c r="I125">
        <f t="shared" ca="1" si="11"/>
        <v>2.6663005051507049</v>
      </c>
    </row>
    <row r="126" spans="1:9" x14ac:dyDescent="0.3">
      <c r="A126" s="1">
        <v>40360</v>
      </c>
      <c r="B126" t="s">
        <v>0</v>
      </c>
      <c r="C126">
        <v>218.9247986</v>
      </c>
      <c r="D126" s="2">
        <f t="shared" si="7"/>
        <v>-1.2271029500139962E-2</v>
      </c>
      <c r="E126" s="2">
        <f t="shared" ca="1" si="8"/>
        <v>1.2786466984885934</v>
      </c>
      <c r="F126">
        <f t="shared" ca="1" si="9"/>
        <v>1.3082630079469137</v>
      </c>
      <c r="G126" s="3">
        <f t="shared" ca="1" si="12"/>
        <v>1.7315286278568902</v>
      </c>
      <c r="H126">
        <f t="shared" ca="1" si="10"/>
        <v>0.75555378461524392</v>
      </c>
      <c r="I126">
        <f t="shared" ca="1" si="11"/>
        <v>-0.53748859602049281</v>
      </c>
    </row>
    <row r="127" spans="1:9" x14ac:dyDescent="0.3">
      <c r="A127" s="1">
        <v>40361</v>
      </c>
      <c r="B127" t="s">
        <v>0</v>
      </c>
      <c r="C127">
        <v>217.460273</v>
      </c>
      <c r="D127" s="2">
        <f t="shared" si="7"/>
        <v>-6.6896286275720329E-3</v>
      </c>
      <c r="E127" s="2">
        <f t="shared" ca="1" si="8"/>
        <v>-1.3238114388674327</v>
      </c>
      <c r="F127">
        <f t="shared" ca="1" si="9"/>
        <v>-1.307390548441971</v>
      </c>
      <c r="G127" s="3">
        <f t="shared" ca="1" si="12"/>
        <v>1.7298713024266623</v>
      </c>
      <c r="H127">
        <f t="shared" ca="1" si="10"/>
        <v>-0.75577330325554526</v>
      </c>
      <c r="I127">
        <f t="shared" ca="1" si="11"/>
        <v>-0.53609258721307418</v>
      </c>
    </row>
    <row r="128" spans="1:9" x14ac:dyDescent="0.3">
      <c r="A128" s="1">
        <v>40365</v>
      </c>
      <c r="B128" t="s">
        <v>0</v>
      </c>
      <c r="C128">
        <v>217.22118219999999</v>
      </c>
      <c r="D128" s="2">
        <f t="shared" si="7"/>
        <v>-1.0994688671250488E-3</v>
      </c>
      <c r="E128" s="2">
        <f t="shared" ca="1" si="8"/>
        <v>-2.604534952143807</v>
      </c>
      <c r="F128">
        <f t="shared" ca="1" si="9"/>
        <v>-2.5948992065296252</v>
      </c>
      <c r="G128" s="3">
        <f t="shared" ca="1" si="12"/>
        <v>1.7282400670410891</v>
      </c>
      <c r="H128">
        <f t="shared" ca="1" si="10"/>
        <v>-1.5014691859171734</v>
      </c>
      <c r="I128">
        <f t="shared" ca="1" si="11"/>
        <v>-1.9070955284231836</v>
      </c>
    </row>
    <row r="129" spans="1:9" x14ac:dyDescent="0.3">
      <c r="A129" s="1">
        <v>40366</v>
      </c>
      <c r="B129" t="s">
        <v>0</v>
      </c>
      <c r="C129">
        <v>224.2597992</v>
      </c>
      <c r="D129" s="2">
        <f t="shared" si="7"/>
        <v>3.2402995549114626E-2</v>
      </c>
      <c r="E129" s="2">
        <f t="shared" ca="1" si="8"/>
        <v>1.1957326648942375</v>
      </c>
      <c r="F129">
        <f t="shared" ca="1" si="9"/>
        <v>1.2002260981686936</v>
      </c>
      <c r="G129" s="3">
        <f t="shared" ca="1" si="12"/>
        <v>1.7383091314104993</v>
      </c>
      <c r="H129">
        <f t="shared" ca="1" si="10"/>
        <v>0.69045607394054576</v>
      </c>
      <c r="I129">
        <f t="shared" ca="1" si="11"/>
        <v>-0.36574876849676036</v>
      </c>
    </row>
    <row r="130" spans="1:9" x14ac:dyDescent="0.3">
      <c r="A130" s="1">
        <v>40367</v>
      </c>
      <c r="B130" t="s">
        <v>0</v>
      </c>
      <c r="C130">
        <v>227.42794119999999</v>
      </c>
      <c r="D130" s="2">
        <f t="shared" si="7"/>
        <v>1.4127106201386401E-2</v>
      </c>
      <c r="E130" s="2">
        <f t="shared" ca="1" si="8"/>
        <v>0.20740981524388011</v>
      </c>
      <c r="F130">
        <f t="shared" ca="1" si="9"/>
        <v>0.19843299743333034</v>
      </c>
      <c r="G130" s="3">
        <f t="shared" ca="1" si="12"/>
        <v>1.7359031203924871</v>
      </c>
      <c r="H130">
        <f t="shared" ca="1" si="10"/>
        <v>0.11431110129490678</v>
      </c>
      <c r="I130">
        <f t="shared" ca="1" si="11"/>
        <v>3.2295390700297268</v>
      </c>
    </row>
    <row r="131" spans="1:9" x14ac:dyDescent="0.3">
      <c r="A131" s="1">
        <v>40368</v>
      </c>
      <c r="B131" t="s">
        <v>0</v>
      </c>
      <c r="C131">
        <v>232.8725306</v>
      </c>
      <c r="D131" s="2">
        <f t="shared" si="7"/>
        <v>2.3939843852396499E-2</v>
      </c>
      <c r="E131" s="2">
        <f t="shared" ca="1" si="8"/>
        <v>1.1803280886084204</v>
      </c>
      <c r="F131">
        <f t="shared" ca="1" si="9"/>
        <v>1.1559386354396464</v>
      </c>
      <c r="G131" s="3">
        <f t="shared" ca="1" si="12"/>
        <v>1.7303130718216788</v>
      </c>
      <c r="H131">
        <f t="shared" ca="1" si="10"/>
        <v>0.66805172674484314</v>
      </c>
      <c r="I131">
        <f t="shared" ca="1" si="11"/>
        <v>-0.29025428743325038</v>
      </c>
    </row>
    <row r="132" spans="1:9" x14ac:dyDescent="0.3">
      <c r="A132" s="1">
        <v>40371</v>
      </c>
      <c r="B132" t="s">
        <v>0</v>
      </c>
      <c r="C132">
        <v>237.02697219999999</v>
      </c>
      <c r="D132" s="2">
        <f t="shared" ref="D132:D195" si="13">(C132-C131)/C131</f>
        <v>1.7839981337841759E-2</v>
      </c>
      <c r="E132" s="2">
        <f t="shared" ca="1" si="8"/>
        <v>-2.9532944423116225</v>
      </c>
      <c r="F132">
        <f t="shared" ca="1" si="9"/>
        <v>-2.9692293787806245</v>
      </c>
      <c r="G132" s="3">
        <f t="shared" ca="1" si="12"/>
        <v>1.7278069119419135</v>
      </c>
      <c r="H132">
        <f t="shared" ca="1" si="10"/>
        <v>-1.7184960647271945</v>
      </c>
      <c r="I132">
        <f t="shared" ca="1" si="11"/>
        <v>-2.1766410009545165</v>
      </c>
    </row>
    <row r="133" spans="1:9" x14ac:dyDescent="0.3">
      <c r="A133" s="1">
        <v>40372</v>
      </c>
      <c r="B133" t="s">
        <v>0</v>
      </c>
      <c r="C133">
        <v>243.68701770000001</v>
      </c>
      <c r="D133" s="2">
        <f t="shared" si="13"/>
        <v>2.8098260034222486E-2</v>
      </c>
      <c r="E133" s="2">
        <f t="shared" ca="1" si="8"/>
        <v>-2.2361942811314051</v>
      </c>
      <c r="F133">
        <f t="shared" ca="1" si="9"/>
        <v>-2.2564208087372006</v>
      </c>
      <c r="G133" s="3">
        <f t="shared" ca="1" si="12"/>
        <v>1.7427111376482829</v>
      </c>
      <c r="H133">
        <f t="shared" ca="1" si="10"/>
        <v>-1.2947761450484261</v>
      </c>
      <c r="I133">
        <f t="shared" ca="1" si="11"/>
        <v>-1.6277147566161632</v>
      </c>
    </row>
    <row r="134" spans="1:9" x14ac:dyDescent="0.3">
      <c r="A134" s="1">
        <v>40373</v>
      </c>
      <c r="B134" t="s">
        <v>0</v>
      </c>
      <c r="C134">
        <v>244.75302909999999</v>
      </c>
      <c r="D134" s="2">
        <f t="shared" si="13"/>
        <v>4.3745104276023952E-3</v>
      </c>
      <c r="E134" s="2">
        <f t="shared" ref="E134:E197" ca="1" si="14">$N$9*D133+$N$10*D132+F134</f>
        <v>-1.5526328101764379</v>
      </c>
      <c r="F134">
        <f t="shared" ref="F134:F197" ca="1" si="15">G134*H134</f>
        <v>-1.572119637724811</v>
      </c>
      <c r="G134" s="3">
        <f t="shared" ca="1" si="12"/>
        <v>1.7485098127217922</v>
      </c>
      <c r="H134">
        <f t="shared" ref="H134:H197" ca="1" si="16">_xlfn.NORM.S.INV(RAND())</f>
        <v>-0.89911971113138567</v>
      </c>
      <c r="I134">
        <f t="shared" ref="I134:I197" ca="1" si="17">-LN(F134^2)-(D134^2)/(F134^2)</f>
        <v>-0.90485733568421589</v>
      </c>
    </row>
    <row r="135" spans="1:9" x14ac:dyDescent="0.3">
      <c r="A135" s="1">
        <v>40374</v>
      </c>
      <c r="B135" t="s">
        <v>0</v>
      </c>
      <c r="C135">
        <v>246.08802270000001</v>
      </c>
      <c r="D135" s="2">
        <f t="shared" si="13"/>
        <v>5.4544517994691427E-3</v>
      </c>
      <c r="E135" s="2">
        <f t="shared" ca="1" si="14"/>
        <v>-2.7608412489479566</v>
      </c>
      <c r="F135">
        <f t="shared" ca="1" si="15"/>
        <v>-2.7796422705115962</v>
      </c>
      <c r="G135" s="3">
        <f t="shared" ref="G135:G198" ca="1" si="18">SQRT($N$6+$N$7*(H134^2)+$N$8*(G134^2))</f>
        <v>1.748243869345381</v>
      </c>
      <c r="H135">
        <f t="shared" ca="1" si="16"/>
        <v>-1.5899625442715928</v>
      </c>
      <c r="I135">
        <f t="shared" ca="1" si="17"/>
        <v>-2.0446483300655296</v>
      </c>
    </row>
    <row r="136" spans="1:9" x14ac:dyDescent="0.3">
      <c r="A136" s="1">
        <v>40375</v>
      </c>
      <c r="B136" t="s">
        <v>0</v>
      </c>
      <c r="C136">
        <v>228.94724600000001</v>
      </c>
      <c r="D136" s="2">
        <f t="shared" si="13"/>
        <v>-6.9653031106255467E-2</v>
      </c>
      <c r="E136" s="2">
        <f t="shared" ca="1" si="14"/>
        <v>1.5671427821901096</v>
      </c>
      <c r="F136">
        <f t="shared" ca="1" si="15"/>
        <v>1.5627924599689365</v>
      </c>
      <c r="G136" s="3">
        <f t="shared" ca="1" si="18"/>
        <v>1.7597654036277648</v>
      </c>
      <c r="H136">
        <f t="shared" ca="1" si="16"/>
        <v>0.8880686350278465</v>
      </c>
      <c r="I136">
        <f t="shared" ca="1" si="17"/>
        <v>-0.8949349680193156</v>
      </c>
    </row>
    <row r="137" spans="1:9" x14ac:dyDescent="0.3">
      <c r="A137" s="1">
        <v>40378</v>
      </c>
      <c r="B137" t="s">
        <v>0</v>
      </c>
      <c r="C137">
        <v>232.2199875</v>
      </c>
      <c r="D137" s="2">
        <f t="shared" si="13"/>
        <v>1.4294740632084279E-2</v>
      </c>
      <c r="E137" s="2">
        <f t="shared" ca="1" si="14"/>
        <v>1.6871167578632018</v>
      </c>
      <c r="F137">
        <f t="shared" ca="1" si="15"/>
        <v>1.7044884154459368</v>
      </c>
      <c r="G137" s="3">
        <f t="shared" ca="1" si="18"/>
        <v>1.7591946843356165</v>
      </c>
      <c r="H137">
        <f t="shared" ca="1" si="16"/>
        <v>0.96890266360124866</v>
      </c>
      <c r="I137">
        <f t="shared" ca="1" si="17"/>
        <v>-1.0666003660994061</v>
      </c>
    </row>
    <row r="138" spans="1:9" x14ac:dyDescent="0.3">
      <c r="A138" s="1">
        <v>40379</v>
      </c>
      <c r="B138" t="s">
        <v>0</v>
      </c>
      <c r="C138">
        <v>239.89622460000001</v>
      </c>
      <c r="D138" s="2">
        <f t="shared" si="13"/>
        <v>3.3055884562908304E-2</v>
      </c>
      <c r="E138" s="2">
        <f t="shared" ca="1" si="14"/>
        <v>-1.7201124654542774</v>
      </c>
      <c r="F138">
        <f t="shared" ca="1" si="15"/>
        <v>-1.6810019506370324</v>
      </c>
      <c r="G138" s="3">
        <f t="shared" ca="1" si="18"/>
        <v>1.7596580427233726</v>
      </c>
      <c r="H138">
        <f t="shared" ca="1" si="16"/>
        <v>-0.95530035371838129</v>
      </c>
      <c r="I138">
        <f t="shared" ca="1" si="17"/>
        <v>-1.0391667180459547</v>
      </c>
    </row>
    <row r="139" spans="1:9" x14ac:dyDescent="0.3">
      <c r="A139" s="1">
        <v>40380</v>
      </c>
      <c r="B139" t="s">
        <v>0</v>
      </c>
      <c r="C139">
        <v>237.85885210000001</v>
      </c>
      <c r="D139" s="2">
        <f t="shared" si="13"/>
        <v>-8.4927243160958163E-3</v>
      </c>
      <c r="E139" s="2">
        <f t="shared" ca="1" si="14"/>
        <v>-1.2570296673123924</v>
      </c>
      <c r="F139">
        <f t="shared" ca="1" si="15"/>
        <v>-1.2757870774824198</v>
      </c>
      <c r="G139" s="3">
        <f t="shared" ca="1" si="18"/>
        <v>1.7599354685889188</v>
      </c>
      <c r="H139">
        <f t="shared" ca="1" si="16"/>
        <v>-0.72490560037710949</v>
      </c>
      <c r="I139">
        <f t="shared" ca="1" si="17"/>
        <v>-0.48717092130736905</v>
      </c>
    </row>
    <row r="140" spans="1:9" x14ac:dyDescent="0.3">
      <c r="A140" s="1">
        <v>40381</v>
      </c>
      <c r="B140" t="s">
        <v>0</v>
      </c>
      <c r="C140">
        <v>241.5002159</v>
      </c>
      <c r="D140" s="2">
        <f t="shared" si="13"/>
        <v>1.5308926986955695E-2</v>
      </c>
      <c r="E140" s="2">
        <f t="shared" ca="1" si="14"/>
        <v>-1.8158203616823281</v>
      </c>
      <c r="F140">
        <f t="shared" ca="1" si="15"/>
        <v>-1.8338719149523401</v>
      </c>
      <c r="G140" s="3">
        <f t="shared" ca="1" si="18"/>
        <v>1.7575634641369633</v>
      </c>
      <c r="H140">
        <f t="shared" ca="1" si="16"/>
        <v>-1.0434171808713875</v>
      </c>
      <c r="I140">
        <f t="shared" ca="1" si="17"/>
        <v>-1.2129287513976452</v>
      </c>
    </row>
    <row r="141" spans="1:9" x14ac:dyDescent="0.3">
      <c r="A141" s="1">
        <v>40382</v>
      </c>
      <c r="B141" t="s">
        <v>0</v>
      </c>
      <c r="C141">
        <v>244.115409</v>
      </c>
      <c r="D141" s="2">
        <f t="shared" si="13"/>
        <v>1.0828947254783797E-2</v>
      </c>
      <c r="E141" s="2">
        <f t="shared" ca="1" si="14"/>
        <v>2.5098847776410693</v>
      </c>
      <c r="F141">
        <f t="shared" ca="1" si="15"/>
        <v>2.5106085760677228</v>
      </c>
      <c r="G141" s="3">
        <f t="shared" ca="1" si="18"/>
        <v>1.7590769771325911</v>
      </c>
      <c r="H141">
        <f t="shared" ca="1" si="16"/>
        <v>1.4272306492011377</v>
      </c>
      <c r="I141">
        <f t="shared" ca="1" si="17"/>
        <v>-1.8410689730275163</v>
      </c>
    </row>
    <row r="142" spans="1:9" x14ac:dyDescent="0.3">
      <c r="A142" s="1">
        <v>40385</v>
      </c>
      <c r="B142" t="s">
        <v>0</v>
      </c>
      <c r="C142">
        <v>243.57245459999999</v>
      </c>
      <c r="D142" s="2">
        <f t="shared" si="13"/>
        <v>-2.2241709453089606E-3</v>
      </c>
      <c r="E142" s="2">
        <f t="shared" ca="1" si="14"/>
        <v>-0.88532994630350503</v>
      </c>
      <c r="F142">
        <f t="shared" ca="1" si="15"/>
        <v>-0.89809158241281262</v>
      </c>
      <c r="G142" s="3">
        <f t="shared" ca="1" si="18"/>
        <v>1.7670276031838372</v>
      </c>
      <c r="H142">
        <f t="shared" ca="1" si="16"/>
        <v>-0.5082498885668949</v>
      </c>
      <c r="I142">
        <f t="shared" ca="1" si="17"/>
        <v>0.21496032870883852</v>
      </c>
    </row>
    <row r="143" spans="1:9" x14ac:dyDescent="0.3">
      <c r="A143" s="1">
        <v>40386</v>
      </c>
      <c r="B143" t="s">
        <v>0</v>
      </c>
      <c r="C143">
        <v>245.3956235</v>
      </c>
      <c r="D143" s="2">
        <f t="shared" si="13"/>
        <v>7.4851193785194677E-3</v>
      </c>
      <c r="E143" s="2">
        <f t="shared" ca="1" si="14"/>
        <v>3.1142099941268579</v>
      </c>
      <c r="F143">
        <f t="shared" ca="1" si="15"/>
        <v>3.1081300153413949</v>
      </c>
      <c r="G143" s="3">
        <f t="shared" ca="1" si="18"/>
        <v>1.7627361222272715</v>
      </c>
      <c r="H143">
        <f t="shared" ca="1" si="16"/>
        <v>1.7632418012823023</v>
      </c>
      <c r="I143">
        <f t="shared" ca="1" si="17"/>
        <v>-2.2680483278309893</v>
      </c>
    </row>
    <row r="144" spans="1:9" x14ac:dyDescent="0.3">
      <c r="A144" s="1">
        <v>40387</v>
      </c>
      <c r="B144" t="s">
        <v>0</v>
      </c>
      <c r="C144">
        <v>241.27107430000001</v>
      </c>
      <c r="D144" s="2">
        <f t="shared" si="13"/>
        <v>-1.6807753704702846E-2</v>
      </c>
      <c r="E144" s="2">
        <f t="shared" ca="1" si="14"/>
        <v>1.2176144744589572</v>
      </c>
      <c r="F144">
        <f t="shared" ca="1" si="15"/>
        <v>1.216767654444612</v>
      </c>
      <c r="G144" s="3">
        <f t="shared" ca="1" si="18"/>
        <v>1.7778765375613359</v>
      </c>
      <c r="H144">
        <f t="shared" ca="1" si="16"/>
        <v>0.68439378592262567</v>
      </c>
      <c r="I144">
        <f t="shared" ca="1" si="17"/>
        <v>-0.39258656954669063</v>
      </c>
    </row>
    <row r="145" spans="1:9" x14ac:dyDescent="0.3">
      <c r="A145" s="1">
        <v>40388</v>
      </c>
      <c r="B145" t="s">
        <v>0</v>
      </c>
      <c r="C145">
        <v>241.58987629999999</v>
      </c>
      <c r="D145" s="2">
        <f t="shared" si="13"/>
        <v>1.321343641897054E-3</v>
      </c>
      <c r="E145" s="2">
        <f t="shared" ca="1" si="14"/>
        <v>1.2745089879699432</v>
      </c>
      <c r="F145">
        <f t="shared" ca="1" si="15"/>
        <v>1.2748595201391357</v>
      </c>
      <c r="G145" s="3">
        <f t="shared" ca="1" si="18"/>
        <v>1.7748686678062706</v>
      </c>
      <c r="H145">
        <f t="shared" ca="1" si="16"/>
        <v>0.71828386137147604</v>
      </c>
      <c r="I145">
        <f t="shared" ca="1" si="17"/>
        <v>-0.48567305876792355</v>
      </c>
    </row>
    <row r="146" spans="1:9" x14ac:dyDescent="0.3">
      <c r="A146" s="1">
        <v>40389</v>
      </c>
      <c r="B146" t="s">
        <v>0</v>
      </c>
      <c r="C146">
        <v>241.52014370000001</v>
      </c>
      <c r="D146" s="2">
        <f t="shared" si="13"/>
        <v>-2.8864040607971657E-4</v>
      </c>
      <c r="E146" s="2">
        <f t="shared" ca="1" si="14"/>
        <v>2.0787302627193682</v>
      </c>
      <c r="F146">
        <f t="shared" ca="1" si="15"/>
        <v>2.088802416438126</v>
      </c>
      <c r="G146" s="3">
        <f t="shared" ca="1" si="18"/>
        <v>1.7722241969722992</v>
      </c>
      <c r="H146">
        <f t="shared" ca="1" si="16"/>
        <v>1.1786332790211729</v>
      </c>
      <c r="I146">
        <f t="shared" ca="1" si="17"/>
        <v>-1.4731818096086473</v>
      </c>
    </row>
    <row r="147" spans="1:9" x14ac:dyDescent="0.3">
      <c r="A147" s="1">
        <v>40392</v>
      </c>
      <c r="B147" t="s">
        <v>0</v>
      </c>
      <c r="C147">
        <v>244.28975600000001</v>
      </c>
      <c r="D147" s="2">
        <f t="shared" si="13"/>
        <v>1.1467417406973022E-2</v>
      </c>
      <c r="E147" s="2">
        <f t="shared" ca="1" si="14"/>
        <v>-1.4450670899840941</v>
      </c>
      <c r="F147">
        <f t="shared" ca="1" si="15"/>
        <v>-1.4458038237126041</v>
      </c>
      <c r="G147" s="3">
        <f t="shared" ca="1" si="18"/>
        <v>1.7755371301122316</v>
      </c>
      <c r="H147">
        <f t="shared" ca="1" si="16"/>
        <v>-0.81429095409636121</v>
      </c>
      <c r="I147">
        <f t="shared" ca="1" si="17"/>
        <v>-0.73739380152825029</v>
      </c>
    </row>
    <row r="148" spans="1:9" x14ac:dyDescent="0.3">
      <c r="A148" s="1">
        <v>40393</v>
      </c>
      <c r="B148" t="s">
        <v>0</v>
      </c>
      <c r="C148">
        <v>244.0008454</v>
      </c>
      <c r="D148" s="2">
        <f t="shared" si="13"/>
        <v>-1.1826554036920333E-3</v>
      </c>
      <c r="E148" s="2">
        <f t="shared" ca="1" si="14"/>
        <v>-0.67229477782237368</v>
      </c>
      <c r="F148">
        <f t="shared" ca="1" si="15"/>
        <v>-0.67553422995791013</v>
      </c>
      <c r="G148" s="3">
        <f t="shared" ca="1" si="18"/>
        <v>1.7738806074592377</v>
      </c>
      <c r="H148">
        <f t="shared" ca="1" si="16"/>
        <v>-0.38082282827675218</v>
      </c>
      <c r="I148">
        <f t="shared" ca="1" si="17"/>
        <v>0.78449983376765253</v>
      </c>
    </row>
    <row r="149" spans="1:9" x14ac:dyDescent="0.3">
      <c r="A149" s="1">
        <v>40394</v>
      </c>
      <c r="B149" t="s">
        <v>0</v>
      </c>
      <c r="C149">
        <v>252.21506249999999</v>
      </c>
      <c r="D149" s="2">
        <f t="shared" si="13"/>
        <v>3.3664707540394384E-2</v>
      </c>
      <c r="E149" s="2">
        <f t="shared" ca="1" si="14"/>
        <v>-2.5497085497664789</v>
      </c>
      <c r="F149">
        <f t="shared" ca="1" si="15"/>
        <v>-2.5564966457476137</v>
      </c>
      <c r="G149" s="3">
        <f t="shared" ca="1" si="18"/>
        <v>1.7687312759840732</v>
      </c>
      <c r="H149">
        <f t="shared" ca="1" si="16"/>
        <v>-1.4453844292006708</v>
      </c>
      <c r="I149">
        <f t="shared" ca="1" si="17"/>
        <v>-1.8774490510271091</v>
      </c>
    </row>
    <row r="150" spans="1:9" x14ac:dyDescent="0.3">
      <c r="A150" s="1">
        <v>40395</v>
      </c>
      <c r="B150" t="s">
        <v>0</v>
      </c>
      <c r="C150">
        <v>253.1017525</v>
      </c>
      <c r="D150" s="2">
        <f t="shared" si="13"/>
        <v>3.515610809326726E-3</v>
      </c>
      <c r="E150" s="2">
        <f t="shared" ca="1" si="14"/>
        <v>-1.1167901672270362</v>
      </c>
      <c r="F150">
        <f t="shared" ca="1" si="15"/>
        <v>-1.1260913839677105</v>
      </c>
      <c r="G150" s="3">
        <f t="shared" ca="1" si="18"/>
        <v>1.776844931842938</v>
      </c>
      <c r="H150">
        <f t="shared" ca="1" si="16"/>
        <v>-0.63375895317985464</v>
      </c>
      <c r="I150">
        <f t="shared" ca="1" si="17"/>
        <v>-0.23751511558099589</v>
      </c>
    </row>
    <row r="151" spans="1:9" x14ac:dyDescent="0.3">
      <c r="A151" s="1">
        <v>40396</v>
      </c>
      <c r="B151" t="s">
        <v>0</v>
      </c>
      <c r="C151">
        <v>249.17645250000001</v>
      </c>
      <c r="D151" s="2">
        <f t="shared" si="13"/>
        <v>-1.5508782381899915E-2</v>
      </c>
      <c r="E151" s="2">
        <f t="shared" ca="1" si="14"/>
        <v>0.55461337932177845</v>
      </c>
      <c r="F151">
        <f t="shared" ca="1" si="15"/>
        <v>0.53260224346113827</v>
      </c>
      <c r="G151" s="3">
        <f t="shared" ca="1" si="18"/>
        <v>1.7733988362983071</v>
      </c>
      <c r="H151">
        <f t="shared" ca="1" si="16"/>
        <v>0.3003285175109634</v>
      </c>
      <c r="I151">
        <f t="shared" ca="1" si="17"/>
        <v>1.2591128773155311</v>
      </c>
    </row>
    <row r="152" spans="1:9" x14ac:dyDescent="0.3">
      <c r="A152" s="1">
        <v>40399</v>
      </c>
      <c r="B152" t="s">
        <v>0</v>
      </c>
      <c r="C152">
        <v>251.73187709999999</v>
      </c>
      <c r="D152" s="2">
        <f t="shared" si="13"/>
        <v>1.025548190593965E-2</v>
      </c>
      <c r="E152" s="2">
        <f t="shared" ca="1" si="14"/>
        <v>0.64739579779062695</v>
      </c>
      <c r="F152">
        <f t="shared" ca="1" si="15"/>
        <v>0.64983082148065763</v>
      </c>
      <c r="G152" s="3">
        <f t="shared" ca="1" si="18"/>
        <v>1.767882787106003</v>
      </c>
      <c r="H152">
        <f t="shared" ca="1" si="16"/>
        <v>0.36757573874251059</v>
      </c>
      <c r="I152">
        <f t="shared" ca="1" si="17"/>
        <v>0.86183738490030359</v>
      </c>
    </row>
    <row r="153" spans="1:9" x14ac:dyDescent="0.3">
      <c r="A153" s="1">
        <v>40400</v>
      </c>
      <c r="B153" t="s">
        <v>0</v>
      </c>
      <c r="C153">
        <v>250.9149352</v>
      </c>
      <c r="D153" s="2">
        <f t="shared" si="13"/>
        <v>-3.2452858549791869E-3</v>
      </c>
      <c r="E153" s="2">
        <f t="shared" ca="1" si="14"/>
        <v>0.65082657984393821</v>
      </c>
      <c r="F153">
        <f t="shared" ca="1" si="15"/>
        <v>0.65742601713804716</v>
      </c>
      <c r="G153" s="3">
        <f t="shared" ca="1" si="18"/>
        <v>1.7627404529644393</v>
      </c>
      <c r="H153">
        <f t="shared" ca="1" si="16"/>
        <v>0.3729567878427249</v>
      </c>
      <c r="I153">
        <f t="shared" ca="1" si="17"/>
        <v>0.83882171788318882</v>
      </c>
    </row>
    <row r="154" spans="1:9" x14ac:dyDescent="0.3">
      <c r="A154" s="1">
        <v>40401</v>
      </c>
      <c r="B154" t="s">
        <v>0</v>
      </c>
      <c r="C154">
        <v>244.95227869999999</v>
      </c>
      <c r="D154" s="2">
        <f t="shared" si="13"/>
        <v>-2.37636571742821E-2</v>
      </c>
      <c r="E154" s="2">
        <f t="shared" ca="1" si="14"/>
        <v>1.7485261288867668</v>
      </c>
      <c r="F154">
        <f t="shared" ca="1" si="15"/>
        <v>1.7431077062571847</v>
      </c>
      <c r="G154" s="3">
        <f t="shared" ca="1" si="18"/>
        <v>1.7576892768685137</v>
      </c>
      <c r="H154">
        <f t="shared" ca="1" si="16"/>
        <v>0.99170412495358251</v>
      </c>
      <c r="I154">
        <f t="shared" ca="1" si="17"/>
        <v>-1.1115249731243126</v>
      </c>
    </row>
    <row r="155" spans="1:9" x14ac:dyDescent="0.3">
      <c r="A155" s="1">
        <v>40402</v>
      </c>
      <c r="B155" t="s">
        <v>0</v>
      </c>
      <c r="C155">
        <v>245.0867696</v>
      </c>
      <c r="D155" s="2">
        <f t="shared" si="13"/>
        <v>5.490493932686284E-4</v>
      </c>
      <c r="E155" s="2">
        <f t="shared" ca="1" si="14"/>
        <v>1.6586611515004039</v>
      </c>
      <c r="F155">
        <f t="shared" ca="1" si="15"/>
        <v>1.6677674815961028</v>
      </c>
      <c r="G155" s="3">
        <f t="shared" ca="1" si="18"/>
        <v>1.7584816154441965</v>
      </c>
      <c r="H155">
        <f t="shared" ca="1" si="16"/>
        <v>0.94841337375871337</v>
      </c>
      <c r="I155">
        <f t="shared" ca="1" si="17"/>
        <v>-1.0229718977743061</v>
      </c>
    </row>
    <row r="156" spans="1:9" x14ac:dyDescent="0.3">
      <c r="A156" s="1">
        <v>40403</v>
      </c>
      <c r="B156" t="s">
        <v>0</v>
      </c>
      <c r="C156">
        <v>242.2673375</v>
      </c>
      <c r="D156" s="2">
        <f t="shared" si="13"/>
        <v>-1.1503811913639913E-2</v>
      </c>
      <c r="E156" s="2">
        <f t="shared" ca="1" si="14"/>
        <v>0.80832123108831466</v>
      </c>
      <c r="F156">
        <f t="shared" ca="1" si="15"/>
        <v>0.82295507438206605</v>
      </c>
      <c r="G156" s="3">
        <f t="shared" ca="1" si="18"/>
        <v>1.7586876194531778</v>
      </c>
      <c r="H156">
        <f t="shared" ca="1" si="16"/>
        <v>0.46793703741312764</v>
      </c>
      <c r="I156">
        <f t="shared" ca="1" si="17"/>
        <v>0.38951193181801036</v>
      </c>
    </row>
    <row r="157" spans="1:9" x14ac:dyDescent="0.3">
      <c r="A157" s="1">
        <v>40406</v>
      </c>
      <c r="B157" t="s">
        <v>0</v>
      </c>
      <c r="C157">
        <v>241.88875110000001</v>
      </c>
      <c r="D157" s="2">
        <f t="shared" si="13"/>
        <v>-1.5626803179771974E-3</v>
      </c>
      <c r="E157" s="2">
        <f t="shared" ca="1" si="14"/>
        <v>1.1867866609273858</v>
      </c>
      <c r="F157">
        <f t="shared" ca="1" si="15"/>
        <v>1.1898748088306594</v>
      </c>
      <c r="G157" s="3">
        <f t="shared" ca="1" si="18"/>
        <v>1.754234252271448</v>
      </c>
      <c r="H157">
        <f t="shared" ca="1" si="16"/>
        <v>0.67828729674498434</v>
      </c>
      <c r="I157">
        <f t="shared" ca="1" si="17"/>
        <v>-0.34769792264790844</v>
      </c>
    </row>
    <row r="158" spans="1:9" x14ac:dyDescent="0.3">
      <c r="A158" s="1">
        <v>40407</v>
      </c>
      <c r="B158" t="s">
        <v>0</v>
      </c>
      <c r="C158">
        <v>244.34455059999999</v>
      </c>
      <c r="D158" s="2">
        <f t="shared" si="13"/>
        <v>1.0152599030885581E-2</v>
      </c>
      <c r="E158" s="2">
        <f t="shared" ca="1" si="14"/>
        <v>1.0436973734492752</v>
      </c>
      <c r="F158">
        <f t="shared" ca="1" si="15"/>
        <v>1.0513266964044612</v>
      </c>
      <c r="G158" s="3">
        <f t="shared" ca="1" si="18"/>
        <v>1.7514931327918819</v>
      </c>
      <c r="H158">
        <f t="shared" ca="1" si="16"/>
        <v>0.60024597112102018</v>
      </c>
      <c r="I158">
        <f t="shared" ca="1" si="17"/>
        <v>-0.1001990304629211</v>
      </c>
    </row>
    <row r="159" spans="1:9" x14ac:dyDescent="0.3">
      <c r="A159" s="1">
        <v>40408</v>
      </c>
      <c r="B159" t="s">
        <v>0</v>
      </c>
      <c r="C159">
        <v>240.17517050000001</v>
      </c>
      <c r="D159" s="2">
        <f t="shared" si="13"/>
        <v>-1.7063528078534458E-2</v>
      </c>
      <c r="E159" s="2">
        <f t="shared" ca="1" si="14"/>
        <v>-0.38357506639001165</v>
      </c>
      <c r="F159">
        <f t="shared" ca="1" si="15"/>
        <v>-0.3856291446792946</v>
      </c>
      <c r="G159" s="3">
        <f t="shared" ca="1" si="18"/>
        <v>1.7481038572301788</v>
      </c>
      <c r="H159">
        <f t="shared" ca="1" si="16"/>
        <v>-0.22059853199472546</v>
      </c>
      <c r="I159">
        <f t="shared" ca="1" si="17"/>
        <v>1.9038003392311602</v>
      </c>
    </row>
    <row r="160" spans="1:9" x14ac:dyDescent="0.3">
      <c r="A160" s="1">
        <v>40409</v>
      </c>
      <c r="B160" t="s">
        <v>0</v>
      </c>
      <c r="C160">
        <v>233.11163640000001</v>
      </c>
      <c r="D160" s="2">
        <f t="shared" si="13"/>
        <v>-2.9409926451993498E-2</v>
      </c>
      <c r="E160" s="2">
        <f t="shared" ca="1" si="14"/>
        <v>-0.24460671848895041</v>
      </c>
      <c r="F160">
        <f t="shared" ca="1" si="15"/>
        <v>-0.24584095401164266</v>
      </c>
      <c r="G160" s="3">
        <f t="shared" ca="1" si="18"/>
        <v>1.7426120045528612</v>
      </c>
      <c r="H160">
        <f t="shared" ca="1" si="16"/>
        <v>-0.14107612788695512</v>
      </c>
      <c r="I160">
        <f t="shared" ca="1" si="17"/>
        <v>2.7918296503516458</v>
      </c>
    </row>
    <row r="161" spans="1:9" x14ac:dyDescent="0.3">
      <c r="A161" s="1">
        <v>40410</v>
      </c>
      <c r="B161" t="s">
        <v>0</v>
      </c>
      <c r="C161">
        <v>230.14774869999999</v>
      </c>
      <c r="D161" s="2">
        <f t="shared" si="13"/>
        <v>-1.2714456239817358E-2</v>
      </c>
      <c r="E161" s="2">
        <f t="shared" ca="1" si="14"/>
        <v>1.8328879502423516</v>
      </c>
      <c r="F161">
        <f t="shared" ca="1" si="15"/>
        <v>1.8522823765055478</v>
      </c>
      <c r="G161" s="3">
        <f t="shared" ca="1" si="18"/>
        <v>1.736988148528078</v>
      </c>
      <c r="H161">
        <f t="shared" ca="1" si="16"/>
        <v>1.0663759439436418</v>
      </c>
      <c r="I161">
        <f t="shared" ca="1" si="17"/>
        <v>-1.232884308820055</v>
      </c>
    </row>
    <row r="162" spans="1:9" x14ac:dyDescent="0.3">
      <c r="A162" s="1">
        <v>40413</v>
      </c>
      <c r="B162" t="s">
        <v>0</v>
      </c>
      <c r="C162">
        <v>231.16891469999999</v>
      </c>
      <c r="D162" s="2">
        <f t="shared" si="13"/>
        <v>4.4370019075489391E-3</v>
      </c>
      <c r="E162" s="2">
        <f t="shared" ca="1" si="14"/>
        <v>2.8504626140474962</v>
      </c>
      <c r="F162">
        <f t="shared" ca="1" si="15"/>
        <v>2.8725670895753219</v>
      </c>
      <c r="G162" s="3">
        <f t="shared" ca="1" si="18"/>
        <v>1.7391704346365218</v>
      </c>
      <c r="H162">
        <f t="shared" ca="1" si="16"/>
        <v>1.651688087818532</v>
      </c>
      <c r="I162">
        <f t="shared" ca="1" si="17"/>
        <v>-2.1104145583903526</v>
      </c>
    </row>
    <row r="163" spans="1:9" x14ac:dyDescent="0.3">
      <c r="A163" s="1">
        <v>40414</v>
      </c>
      <c r="B163" t="s">
        <v>0</v>
      </c>
      <c r="C163">
        <v>224.85258880000001</v>
      </c>
      <c r="D163" s="2">
        <f t="shared" si="13"/>
        <v>-2.7323422390925736E-2</v>
      </c>
      <c r="E163" s="2">
        <f t="shared" ca="1" si="14"/>
        <v>-1.8877002553038418</v>
      </c>
      <c r="F163">
        <f t="shared" ca="1" si="15"/>
        <v>-1.8811059660186316</v>
      </c>
      <c r="G163" s="3">
        <f t="shared" ca="1" si="18"/>
        <v>1.7522627746205957</v>
      </c>
      <c r="H163">
        <f t="shared" ca="1" si="16"/>
        <v>-1.073529605983859</v>
      </c>
      <c r="I163">
        <f t="shared" ca="1" si="17"/>
        <v>-1.2639307484978173</v>
      </c>
    </row>
    <row r="164" spans="1:9" x14ac:dyDescent="0.3">
      <c r="A164" s="1">
        <v>40415</v>
      </c>
      <c r="B164" t="s">
        <v>0</v>
      </c>
      <c r="C164">
        <v>226.46155450000001</v>
      </c>
      <c r="D164" s="2">
        <f t="shared" si="13"/>
        <v>7.1556467665628174E-3</v>
      </c>
      <c r="E164" s="2">
        <f t="shared" ca="1" si="14"/>
        <v>-0.69498758269514072</v>
      </c>
      <c r="F164">
        <f t="shared" ca="1" si="15"/>
        <v>-0.68960358885593243</v>
      </c>
      <c r="G164" s="3">
        <f t="shared" ca="1" si="18"/>
        <v>1.7542987212678212</v>
      </c>
      <c r="H164">
        <f t="shared" ca="1" si="16"/>
        <v>-0.39309359375098901</v>
      </c>
      <c r="I164">
        <f t="shared" ca="1" si="17"/>
        <v>0.74316903977379178</v>
      </c>
    </row>
    <row r="165" spans="1:9" x14ac:dyDescent="0.3">
      <c r="A165" s="1">
        <v>40416</v>
      </c>
      <c r="B165" t="s">
        <v>0</v>
      </c>
      <c r="C165">
        <v>224.64834980000001</v>
      </c>
      <c r="D165" s="2">
        <f t="shared" si="13"/>
        <v>-8.0066777957227171E-3</v>
      </c>
      <c r="E165" s="2">
        <f t="shared" ca="1" si="14"/>
        <v>1.3455936524696266</v>
      </c>
      <c r="F165">
        <f t="shared" ca="1" si="15"/>
        <v>1.3604742907920051</v>
      </c>
      <c r="G165" s="3">
        <f t="shared" ca="1" si="18"/>
        <v>1.749458876828405</v>
      </c>
      <c r="H165">
        <f t="shared" ca="1" si="16"/>
        <v>0.77765434147180967</v>
      </c>
      <c r="I165">
        <f t="shared" ca="1" si="17"/>
        <v>-0.61570140006566709</v>
      </c>
    </row>
    <row r="166" spans="1:9" x14ac:dyDescent="0.3">
      <c r="A166" s="1">
        <v>40417</v>
      </c>
      <c r="B166" t="s">
        <v>0</v>
      </c>
      <c r="C166">
        <v>228.5586959</v>
      </c>
      <c r="D166" s="2">
        <f t="shared" si="13"/>
        <v>1.740652047291379E-2</v>
      </c>
      <c r="E166" s="2">
        <f t="shared" ca="1" si="14"/>
        <v>0.64285896078733573</v>
      </c>
      <c r="F166">
        <f t="shared" ca="1" si="15"/>
        <v>0.64079047778818266</v>
      </c>
      <c r="G166" s="3">
        <f t="shared" ca="1" si="18"/>
        <v>1.7477785998607107</v>
      </c>
      <c r="H166">
        <f t="shared" ca="1" si="16"/>
        <v>0.36663137873369683</v>
      </c>
      <c r="I166">
        <f t="shared" ca="1" si="17"/>
        <v>0.88936759608768845</v>
      </c>
    </row>
    <row r="167" spans="1:9" x14ac:dyDescent="0.3">
      <c r="A167" s="1">
        <v>40420</v>
      </c>
      <c r="B167" t="s">
        <v>0</v>
      </c>
      <c r="C167">
        <v>225.5001575</v>
      </c>
      <c r="D167" s="2">
        <f t="shared" si="13"/>
        <v>-1.3381850941861291E-2</v>
      </c>
      <c r="E167" s="2">
        <f t="shared" ca="1" si="14"/>
        <v>1.1341216533393264</v>
      </c>
      <c r="F167">
        <f t="shared" ca="1" si="15"/>
        <v>1.1339173623169541</v>
      </c>
      <c r="G167" s="3">
        <f t="shared" ca="1" si="18"/>
        <v>1.7428821585718872</v>
      </c>
      <c r="H167">
        <f t="shared" ca="1" si="16"/>
        <v>0.65059898441216635</v>
      </c>
      <c r="I167">
        <f t="shared" ca="1" si="17"/>
        <v>-0.25149593367274331</v>
      </c>
    </row>
    <row r="168" spans="1:9" x14ac:dyDescent="0.3">
      <c r="A168" s="1">
        <v>40421</v>
      </c>
      <c r="B168" t="s">
        <v>0</v>
      </c>
      <c r="C168">
        <v>224.17013829999999</v>
      </c>
      <c r="D168" s="2">
        <f t="shared" si="13"/>
        <v>-5.8980854592086459E-3</v>
      </c>
      <c r="E168" s="2">
        <f t="shared" ca="1" si="14"/>
        <v>-1.9892563647986039</v>
      </c>
      <c r="F168">
        <f t="shared" ca="1" si="15"/>
        <v>-1.9961053421341626</v>
      </c>
      <c r="G168" s="3">
        <f t="shared" ca="1" si="18"/>
        <v>1.7400434081109113</v>
      </c>
      <c r="H168">
        <f t="shared" ca="1" si="16"/>
        <v>-1.1471583598602557</v>
      </c>
      <c r="I168">
        <f t="shared" ca="1" si="17"/>
        <v>-1.3824046370573979</v>
      </c>
    </row>
    <row r="169" spans="1:9" x14ac:dyDescent="0.3">
      <c r="A169" s="1">
        <v>40422</v>
      </c>
      <c r="B169" t="s">
        <v>0</v>
      </c>
      <c r="C169">
        <v>229.30590470000001</v>
      </c>
      <c r="D169" s="2">
        <f t="shared" si="13"/>
        <v>2.2910127276305575E-2</v>
      </c>
      <c r="E169" s="2">
        <f t="shared" ca="1" si="14"/>
        <v>0.71506837496657882</v>
      </c>
      <c r="F169">
        <f t="shared" ca="1" si="15"/>
        <v>0.72515981460675116</v>
      </c>
      <c r="G169" s="3">
        <f t="shared" ca="1" si="18"/>
        <v>1.7434083924325552</v>
      </c>
      <c r="H169">
        <f t="shared" ca="1" si="16"/>
        <v>0.4159437443082083</v>
      </c>
      <c r="I169">
        <f t="shared" ca="1" si="17"/>
        <v>0.64172829795560071</v>
      </c>
    </row>
    <row r="170" spans="1:9" x14ac:dyDescent="0.3">
      <c r="A170" s="1">
        <v>40423</v>
      </c>
      <c r="B170" t="s">
        <v>0</v>
      </c>
      <c r="C170">
        <v>230.7255849</v>
      </c>
      <c r="D170" s="2">
        <f t="shared" si="13"/>
        <v>6.1912064665641713E-3</v>
      </c>
      <c r="E170" s="2">
        <f t="shared" ca="1" si="14"/>
        <v>-0.44078505052568168</v>
      </c>
      <c r="F170">
        <f t="shared" ca="1" si="15"/>
        <v>-0.44394334038002092</v>
      </c>
      <c r="G170" s="3">
        <f t="shared" ca="1" si="18"/>
        <v>1.7388334754936989</v>
      </c>
      <c r="H170">
        <f t="shared" ca="1" si="16"/>
        <v>-0.25531101548063662</v>
      </c>
      <c r="I170">
        <f t="shared" ca="1" si="17"/>
        <v>1.6239221837022537</v>
      </c>
    </row>
    <row r="171" spans="1:9" x14ac:dyDescent="0.3">
      <c r="A171" s="1">
        <v>40424</v>
      </c>
      <c r="B171" t="s">
        <v>0</v>
      </c>
      <c r="C171">
        <v>234.27229790000001</v>
      </c>
      <c r="D171" s="2">
        <f t="shared" si="13"/>
        <v>1.5371997004741416E-2</v>
      </c>
      <c r="E171" s="2">
        <f t="shared" ca="1" si="14"/>
        <v>-2.247080269014099</v>
      </c>
      <c r="F171">
        <f t="shared" ca="1" si="15"/>
        <v>-2.2631923334169119</v>
      </c>
      <c r="G171" s="3">
        <f t="shared" ca="1" si="18"/>
        <v>1.733569328113173</v>
      </c>
      <c r="H171">
        <f t="shared" ca="1" si="16"/>
        <v>-1.3055101383687859</v>
      </c>
      <c r="I171">
        <f t="shared" ca="1" si="17"/>
        <v>-1.6335988406380062</v>
      </c>
    </row>
    <row r="172" spans="1:9" x14ac:dyDescent="0.3">
      <c r="A172" s="1">
        <v>40428</v>
      </c>
      <c r="B172" t="s">
        <v>0</v>
      </c>
      <c r="C172">
        <v>231.33329749999999</v>
      </c>
      <c r="D172" s="2">
        <f t="shared" si="13"/>
        <v>-1.2545232305932087E-2</v>
      </c>
      <c r="E172" s="2">
        <f t="shared" ca="1" si="14"/>
        <v>0.27111206565203438</v>
      </c>
      <c r="F172">
        <f t="shared" ca="1" si="15"/>
        <v>0.26267342357125573</v>
      </c>
      <c r="G172" s="3">
        <f t="shared" ca="1" si="18"/>
        <v>1.7397309571047652</v>
      </c>
      <c r="H172">
        <f t="shared" ca="1" si="16"/>
        <v>0.15098508335357383</v>
      </c>
      <c r="I172">
        <f t="shared" ca="1" si="17"/>
        <v>2.6714065084634497</v>
      </c>
    </row>
    <row r="173" spans="1:9" x14ac:dyDescent="0.3">
      <c r="A173" s="1">
        <v>40429</v>
      </c>
      <c r="B173" t="s">
        <v>0</v>
      </c>
      <c r="C173">
        <v>234.41176369999999</v>
      </c>
      <c r="D173" s="2">
        <f t="shared" si="13"/>
        <v>1.3307492839417154E-2</v>
      </c>
      <c r="E173" s="2">
        <f t="shared" ca="1" si="14"/>
        <v>-0.36195505215314638</v>
      </c>
      <c r="F173">
        <f t="shared" ca="1" si="15"/>
        <v>-0.36778658920781865</v>
      </c>
      <c r="G173" s="3">
        <f t="shared" ca="1" si="18"/>
        <v>1.7341620370008943</v>
      </c>
      <c r="H173">
        <f t="shared" ca="1" si="16"/>
        <v>-0.21208317409823968</v>
      </c>
      <c r="I173">
        <f t="shared" ca="1" si="17"/>
        <v>1.9991956752818569</v>
      </c>
    </row>
    <row r="174" spans="1:9" x14ac:dyDescent="0.3">
      <c r="A174" s="1">
        <v>40430</v>
      </c>
      <c r="B174" t="s">
        <v>0</v>
      </c>
      <c r="C174">
        <v>237.2013192</v>
      </c>
      <c r="D174" s="2">
        <f t="shared" si="13"/>
        <v>1.190023681392576E-2</v>
      </c>
      <c r="E174" s="2">
        <f t="shared" ca="1" si="14"/>
        <v>-2.3934567335773442</v>
      </c>
      <c r="F174">
        <f t="shared" ca="1" si="15"/>
        <v>-2.3896126933136168</v>
      </c>
      <c r="G174" s="3">
        <f t="shared" ca="1" si="18"/>
        <v>1.7288149387722922</v>
      </c>
      <c r="H174">
        <f t="shared" ca="1" si="16"/>
        <v>-1.3822258471520301</v>
      </c>
      <c r="I174">
        <f t="shared" ca="1" si="17"/>
        <v>-1.7422873998657391</v>
      </c>
    </row>
    <row r="175" spans="1:9" x14ac:dyDescent="0.3">
      <c r="A175" s="1">
        <v>40431</v>
      </c>
      <c r="B175" t="s">
        <v>0</v>
      </c>
      <c r="C175">
        <v>237.1813914</v>
      </c>
      <c r="D175" s="2">
        <f t="shared" si="13"/>
        <v>-8.4012180316765013E-5</v>
      </c>
      <c r="E175" s="2">
        <f t="shared" ca="1" si="14"/>
        <v>-1.4336093003567323</v>
      </c>
      <c r="F175">
        <f t="shared" ca="1" si="15"/>
        <v>-1.4454440715550478</v>
      </c>
      <c r="G175" s="3">
        <f t="shared" ca="1" si="18"/>
        <v>1.7364936458140219</v>
      </c>
      <c r="H175">
        <f t="shared" ca="1" si="16"/>
        <v>-0.83239237588886328</v>
      </c>
      <c r="I175">
        <f t="shared" ca="1" si="17"/>
        <v>-0.73683318399331366</v>
      </c>
    </row>
    <row r="176" spans="1:9" x14ac:dyDescent="0.3">
      <c r="A176" s="1">
        <v>40434</v>
      </c>
      <c r="B176" t="s">
        <v>0</v>
      </c>
      <c r="C176">
        <v>240.23495489999999</v>
      </c>
      <c r="D176" s="2">
        <f t="shared" si="13"/>
        <v>1.2874380582624391E-2</v>
      </c>
      <c r="E176" s="2">
        <f t="shared" ca="1" si="14"/>
        <v>-0.20275214816193846</v>
      </c>
      <c r="F176">
        <f t="shared" ca="1" si="15"/>
        <v>-0.21013733679920363</v>
      </c>
      <c r="G176" s="3">
        <f t="shared" ca="1" si="18"/>
        <v>1.735610321897044</v>
      </c>
      <c r="H176">
        <f t="shared" ca="1" si="16"/>
        <v>-0.12107403035580064</v>
      </c>
      <c r="I176">
        <f t="shared" ca="1" si="17"/>
        <v>3.116234369662259</v>
      </c>
    </row>
    <row r="177" spans="1:9" x14ac:dyDescent="0.3">
      <c r="A177" s="1">
        <v>40435</v>
      </c>
      <c r="B177" t="s">
        <v>0</v>
      </c>
      <c r="C177">
        <v>239.3183884</v>
      </c>
      <c r="D177" s="2">
        <f t="shared" si="13"/>
        <v>-3.8152919935465547E-3</v>
      </c>
      <c r="E177" s="2">
        <f t="shared" ca="1" si="14"/>
        <v>0.22832387551501124</v>
      </c>
      <c r="F177">
        <f t="shared" ca="1" si="15"/>
        <v>0.22453749426391464</v>
      </c>
      <c r="G177" s="3">
        <f t="shared" ca="1" si="18"/>
        <v>1.7300348770759346</v>
      </c>
      <c r="H177">
        <f t="shared" ca="1" si="16"/>
        <v>0.12978784256848208</v>
      </c>
      <c r="I177">
        <f t="shared" ca="1" si="17"/>
        <v>2.9871364262354674</v>
      </c>
    </row>
    <row r="178" spans="1:9" x14ac:dyDescent="0.3">
      <c r="A178" s="1">
        <v>40436</v>
      </c>
      <c r="B178" t="s">
        <v>0</v>
      </c>
      <c r="C178">
        <v>239.42300280000001</v>
      </c>
      <c r="D178" s="2">
        <f t="shared" si="13"/>
        <v>4.3713481734278074E-4</v>
      </c>
      <c r="E178" s="2">
        <f t="shared" ca="1" si="14"/>
        <v>1.7953733097135571</v>
      </c>
      <c r="F178">
        <f t="shared" ca="1" si="15"/>
        <v>1.7884940636577886</v>
      </c>
      <c r="G178" s="3">
        <f t="shared" ca="1" si="18"/>
        <v>1.7245422855409973</v>
      </c>
      <c r="H178">
        <f t="shared" ca="1" si="16"/>
        <v>1.0370833343159975</v>
      </c>
      <c r="I178">
        <f t="shared" ca="1" si="17"/>
        <v>-1.1627479808141026</v>
      </c>
    </row>
    <row r="179" spans="1:9" x14ac:dyDescent="0.3">
      <c r="A179" s="1">
        <v>40437</v>
      </c>
      <c r="B179" t="s">
        <v>0</v>
      </c>
      <c r="C179">
        <v>239.63221609999999</v>
      </c>
      <c r="D179" s="2">
        <f t="shared" si="13"/>
        <v>8.7382288900098785E-4</v>
      </c>
      <c r="E179" s="2">
        <f t="shared" ca="1" si="14"/>
        <v>2.1750092016827639E-2</v>
      </c>
      <c r="F179">
        <f t="shared" ca="1" si="15"/>
        <v>2.3995523246619042E-2</v>
      </c>
      <c r="G179" s="3">
        <f t="shared" ca="1" si="18"/>
        <v>1.7265021291730309</v>
      </c>
      <c r="H179">
        <f t="shared" ca="1" si="16"/>
        <v>1.3898345586235995E-2</v>
      </c>
      <c r="I179">
        <f t="shared" ca="1" si="17"/>
        <v>7.4584498639816026</v>
      </c>
    </row>
    <row r="180" spans="1:9" x14ac:dyDescent="0.3">
      <c r="A180" s="1">
        <v>40438</v>
      </c>
      <c r="B180" t="s">
        <v>0</v>
      </c>
      <c r="C180">
        <v>244.16025440000001</v>
      </c>
      <c r="D180" s="2">
        <f t="shared" si="13"/>
        <v>1.889578276950225E-2</v>
      </c>
      <c r="E180" s="2">
        <f t="shared" ca="1" si="14"/>
        <v>1.8115104664397692</v>
      </c>
      <c r="F180">
        <f t="shared" ca="1" si="15"/>
        <v>1.810977720245885</v>
      </c>
      <c r="G180" s="3">
        <f t="shared" ca="1" si="18"/>
        <v>1.7209362089201516</v>
      </c>
      <c r="H180">
        <f t="shared" ca="1" si="16"/>
        <v>1.0523212370447086</v>
      </c>
      <c r="I180">
        <f t="shared" ca="1" si="17"/>
        <v>-1.187842621563415</v>
      </c>
    </row>
    <row r="181" spans="1:9" x14ac:dyDescent="0.3">
      <c r="A181" s="1">
        <v>40441</v>
      </c>
      <c r="B181" t="s">
        <v>0</v>
      </c>
      <c r="C181">
        <v>253.19141289999999</v>
      </c>
      <c r="D181" s="2">
        <f t="shared" si="13"/>
        <v>3.6988651253633258E-2</v>
      </c>
      <c r="E181" s="2">
        <f t="shared" ca="1" si="14"/>
        <v>0.40532467327151911</v>
      </c>
      <c r="F181">
        <f t="shared" ca="1" si="15"/>
        <v>0.39914647724996999</v>
      </c>
      <c r="G181" s="3">
        <f t="shared" ca="1" si="18"/>
        <v>1.7231773497025422</v>
      </c>
      <c r="H181">
        <f t="shared" ca="1" si="16"/>
        <v>0.23163400872166254</v>
      </c>
      <c r="I181">
        <f t="shared" ca="1" si="17"/>
        <v>1.8282660255993886</v>
      </c>
    </row>
    <row r="182" spans="1:9" x14ac:dyDescent="0.3">
      <c r="A182" s="1">
        <v>40442</v>
      </c>
      <c r="B182" t="s">
        <v>0</v>
      </c>
      <c r="C182">
        <v>255.77173970000001</v>
      </c>
      <c r="D182" s="2">
        <f t="shared" si="13"/>
        <v>1.019120976673543E-2</v>
      </c>
      <c r="E182" s="2">
        <f t="shared" ca="1" si="14"/>
        <v>1.5772843472328035</v>
      </c>
      <c r="F182">
        <f t="shared" ca="1" si="15"/>
        <v>1.554489268204815</v>
      </c>
      <c r="G182" s="3">
        <f t="shared" ca="1" si="18"/>
        <v>1.7180257272054063</v>
      </c>
      <c r="H182">
        <f t="shared" ca="1" si="16"/>
        <v>0.90481140275669525</v>
      </c>
      <c r="I182">
        <f t="shared" ca="1" si="17"/>
        <v>-0.88233707454548049</v>
      </c>
    </row>
    <row r="183" spans="1:9" x14ac:dyDescent="0.3">
      <c r="A183" s="1">
        <v>40443</v>
      </c>
      <c r="B183" t="s">
        <v>0</v>
      </c>
      <c r="C183">
        <v>257.03700070000002</v>
      </c>
      <c r="D183" s="2">
        <f t="shared" si="13"/>
        <v>4.9468365875137751E-3</v>
      </c>
      <c r="E183" s="2">
        <f t="shared" ca="1" si="14"/>
        <v>-1.7698030689233502</v>
      </c>
      <c r="F183">
        <f t="shared" ca="1" si="15"/>
        <v>-1.7958744464617382</v>
      </c>
      <c r="G183" s="3">
        <f t="shared" ca="1" si="18"/>
        <v>1.7182970427512139</v>
      </c>
      <c r="H183">
        <f t="shared" ca="1" si="16"/>
        <v>-1.0451478421835103</v>
      </c>
      <c r="I183">
        <f t="shared" ca="1" si="17"/>
        <v>-1.1709917078204888</v>
      </c>
    </row>
    <row r="184" spans="1:9" x14ac:dyDescent="0.3">
      <c r="A184" s="1">
        <v>40444</v>
      </c>
      <c r="B184" t="s">
        <v>0</v>
      </c>
      <c r="C184">
        <v>255.7817039</v>
      </c>
      <c r="D184" s="2">
        <f t="shared" si="13"/>
        <v>-4.8837202293110357E-3</v>
      </c>
      <c r="E184" s="2">
        <f t="shared" ca="1" si="14"/>
        <v>-0.34738932063011974</v>
      </c>
      <c r="F184">
        <f t="shared" ca="1" si="15"/>
        <v>-0.35521032900804694</v>
      </c>
      <c r="G184" s="3">
        <f t="shared" ca="1" si="18"/>
        <v>1.7204768427892401</v>
      </c>
      <c r="H184">
        <f t="shared" ca="1" si="16"/>
        <v>-0.20646039526587254</v>
      </c>
      <c r="I184">
        <f t="shared" ca="1" si="17"/>
        <v>2.0699013478982153</v>
      </c>
    </row>
    <row r="185" spans="1:9" x14ac:dyDescent="0.3">
      <c r="A185" s="1">
        <v>40445</v>
      </c>
      <c r="B185" t="s">
        <v>0</v>
      </c>
      <c r="C185">
        <v>262.66094229999999</v>
      </c>
      <c r="D185" s="2">
        <f t="shared" si="13"/>
        <v>2.6894958846194437E-2</v>
      </c>
      <c r="E185" s="2">
        <f t="shared" ca="1" si="14"/>
        <v>1.9871601619616472</v>
      </c>
      <c r="F185">
        <f t="shared" ca="1" si="15"/>
        <v>1.9855359397482231</v>
      </c>
      <c r="G185" s="3">
        <f t="shared" ca="1" si="18"/>
        <v>1.7152812776584401</v>
      </c>
      <c r="H185">
        <f t="shared" ca="1" si="16"/>
        <v>1.157557052367943</v>
      </c>
      <c r="I185">
        <f t="shared" ca="1" si="17"/>
        <v>-1.3719612240221306</v>
      </c>
    </row>
    <row r="186" spans="1:9" x14ac:dyDescent="0.3">
      <c r="A186" s="1">
        <v>40448</v>
      </c>
      <c r="B186" t="s">
        <v>0</v>
      </c>
      <c r="C186">
        <v>264.21511390000001</v>
      </c>
      <c r="D186" s="2">
        <f t="shared" si="13"/>
        <v>5.9170259056822777E-3</v>
      </c>
      <c r="E186" s="2">
        <f t="shared" ca="1" si="14"/>
        <v>2.9511861902123888</v>
      </c>
      <c r="F186">
        <f t="shared" ca="1" si="15"/>
        <v>2.9462081194185274</v>
      </c>
      <c r="G186" s="3">
        <f t="shared" ca="1" si="18"/>
        <v>1.7192427669052928</v>
      </c>
      <c r="H186">
        <f t="shared" ca="1" si="16"/>
        <v>1.7136661419386527</v>
      </c>
      <c r="I186">
        <f t="shared" ca="1" si="17"/>
        <v>-2.1610419540620271</v>
      </c>
    </row>
    <row r="187" spans="1:9" x14ac:dyDescent="0.3">
      <c r="A187" s="1">
        <v>40449</v>
      </c>
      <c r="B187" t="s">
        <v>0</v>
      </c>
      <c r="C187">
        <v>262.60115839999997</v>
      </c>
      <c r="D187" s="2">
        <f t="shared" si="13"/>
        <v>-6.1084904499856905E-3</v>
      </c>
      <c r="E187" s="2">
        <f t="shared" ca="1" si="14"/>
        <v>-2.6571001745572795</v>
      </c>
      <c r="F187">
        <f t="shared" ca="1" si="15"/>
        <v>-2.6756118292518725</v>
      </c>
      <c r="G187" s="3">
        <f t="shared" ca="1" si="18"/>
        <v>1.7342358277074785</v>
      </c>
      <c r="H187">
        <f t="shared" ca="1" si="16"/>
        <v>-1.5428189099223131</v>
      </c>
      <c r="I187">
        <f t="shared" ca="1" si="17"/>
        <v>-1.9683613630279704</v>
      </c>
    </row>
    <row r="188" spans="1:9" x14ac:dyDescent="0.3">
      <c r="A188" s="1">
        <v>40450</v>
      </c>
      <c r="B188" t="s">
        <v>0</v>
      </c>
      <c r="C188">
        <v>262.86019199999998</v>
      </c>
      <c r="D188" s="2">
        <f t="shared" si="13"/>
        <v>9.8641453669996194E-4</v>
      </c>
      <c r="E188" s="2">
        <f t="shared" ca="1" si="14"/>
        <v>0.21681111164029049</v>
      </c>
      <c r="F188">
        <f t="shared" ca="1" si="15"/>
        <v>0.21494793989471889</v>
      </c>
      <c r="G188" s="3">
        <f t="shared" ca="1" si="18"/>
        <v>1.7450464894790567</v>
      </c>
      <c r="H188">
        <f t="shared" ca="1" si="16"/>
        <v>0.12317605358404327</v>
      </c>
      <c r="I188">
        <f t="shared" ca="1" si="17"/>
        <v>3.074697780690939</v>
      </c>
    </row>
    <row r="189" spans="1:9" x14ac:dyDescent="0.3">
      <c r="A189" s="1">
        <v>40451</v>
      </c>
      <c r="B189" t="s">
        <v>0</v>
      </c>
      <c r="C189">
        <v>261.9137485</v>
      </c>
      <c r="D189" s="2">
        <f t="shared" si="13"/>
        <v>-3.6005585052604188E-3</v>
      </c>
      <c r="E189" s="2">
        <f t="shared" ca="1" si="14"/>
        <v>-0.659203884492647</v>
      </c>
      <c r="F189">
        <f t="shared" ca="1" si="15"/>
        <v>-0.65569426238634532</v>
      </c>
      <c r="G189" s="3">
        <f t="shared" ca="1" si="18"/>
        <v>1.7393605096977522</v>
      </c>
      <c r="H189">
        <f t="shared" ca="1" si="16"/>
        <v>-0.37697432977841089</v>
      </c>
      <c r="I189">
        <f t="shared" ca="1" si="17"/>
        <v>0.84409117078182672</v>
      </c>
    </row>
    <row r="190" spans="1:9" x14ac:dyDescent="0.3">
      <c r="A190" s="1">
        <v>40452</v>
      </c>
      <c r="B190" t="s">
        <v>0</v>
      </c>
      <c r="C190">
        <v>261.8290624</v>
      </c>
      <c r="D190" s="2">
        <f t="shared" si="13"/>
        <v>-3.233358328266566E-4</v>
      </c>
      <c r="E190" s="2">
        <f t="shared" ca="1" si="14"/>
        <v>-0.98670846300425108</v>
      </c>
      <c r="F190">
        <f t="shared" ca="1" si="15"/>
        <v>-0.98624913796584834</v>
      </c>
      <c r="G190" s="3">
        <f t="shared" ca="1" si="18"/>
        <v>1.7346229551337504</v>
      </c>
      <c r="H190">
        <f t="shared" ca="1" si="16"/>
        <v>-0.5685668663884379</v>
      </c>
      <c r="I190">
        <f t="shared" ca="1" si="17"/>
        <v>2.769245426794497E-2</v>
      </c>
    </row>
    <row r="191" spans="1:9" x14ac:dyDescent="0.3">
      <c r="A191" s="1">
        <v>40455</v>
      </c>
      <c r="B191" t="s">
        <v>0</v>
      </c>
      <c r="C191">
        <v>260.20015289999998</v>
      </c>
      <c r="D191" s="2">
        <f t="shared" si="13"/>
        <v>-6.2212707980885329E-3</v>
      </c>
      <c r="E191" s="2">
        <f t="shared" ca="1" si="14"/>
        <v>0.36378283100533304</v>
      </c>
      <c r="F191">
        <f t="shared" ca="1" si="15"/>
        <v>0.36612129446752073</v>
      </c>
      <c r="G191" s="3">
        <f t="shared" ca="1" si="18"/>
        <v>1.7312032640431541</v>
      </c>
      <c r="H191">
        <f t="shared" ca="1" si="16"/>
        <v>0.21148371313282965</v>
      </c>
      <c r="I191">
        <f t="shared" ca="1" si="17"/>
        <v>2.0092924488175687</v>
      </c>
    </row>
    <row r="192" spans="1:9" x14ac:dyDescent="0.3">
      <c r="A192" s="1">
        <v>40456</v>
      </c>
      <c r="B192" t="s">
        <v>0</v>
      </c>
      <c r="C192">
        <v>268.11050599999999</v>
      </c>
      <c r="D192" s="2">
        <f t="shared" si="13"/>
        <v>3.0401031712844969E-2</v>
      </c>
      <c r="E192" s="2">
        <f t="shared" ca="1" si="14"/>
        <v>-0.76958803719800883</v>
      </c>
      <c r="F192">
        <f t="shared" ca="1" si="15"/>
        <v>-0.76753172909430445</v>
      </c>
      <c r="G192" s="3">
        <f t="shared" ca="1" si="18"/>
        <v>1.7258906407201826</v>
      </c>
      <c r="H192">
        <f t="shared" ca="1" si="16"/>
        <v>-0.44471631688901647</v>
      </c>
      <c r="I192">
        <f t="shared" ca="1" si="17"/>
        <v>0.52758205987072404</v>
      </c>
    </row>
    <row r="193" spans="1:9" x14ac:dyDescent="0.3">
      <c r="A193" s="1">
        <v>40457</v>
      </c>
      <c r="B193" t="s">
        <v>0</v>
      </c>
      <c r="C193">
        <v>266.1777634</v>
      </c>
      <c r="D193" s="2">
        <f t="shared" si="13"/>
        <v>-7.2087536920316855E-3</v>
      </c>
      <c r="E193" s="2">
        <f t="shared" ca="1" si="14"/>
        <v>-0.3488516791583065</v>
      </c>
      <c r="F193">
        <f t="shared" ca="1" si="15"/>
        <v>-0.35404225139088535</v>
      </c>
      <c r="G193" s="3">
        <f t="shared" ca="1" si="18"/>
        <v>1.7217118949603161</v>
      </c>
      <c r="H193">
        <f t="shared" ca="1" si="16"/>
        <v>-0.20563385339162432</v>
      </c>
      <c r="I193">
        <f t="shared" ca="1" si="17"/>
        <v>2.0762634557625361</v>
      </c>
    </row>
    <row r="194" spans="1:9" x14ac:dyDescent="0.3">
      <c r="A194" s="1">
        <v>40458</v>
      </c>
      <c r="B194" t="s">
        <v>0</v>
      </c>
      <c r="C194">
        <v>264.01586420000001</v>
      </c>
      <c r="D194" s="2">
        <f t="shared" si="13"/>
        <v>-8.1220127947021197E-3</v>
      </c>
      <c r="E194" s="2">
        <f t="shared" ca="1" si="14"/>
        <v>1.1403674361234502</v>
      </c>
      <c r="F194">
        <f t="shared" ca="1" si="15"/>
        <v>1.1235862152892941</v>
      </c>
      <c r="G194" s="3">
        <f t="shared" ca="1" si="18"/>
        <v>1.7164987522254629</v>
      </c>
      <c r="H194">
        <f t="shared" ca="1" si="16"/>
        <v>0.65458026918606849</v>
      </c>
      <c r="I194">
        <f t="shared" ca="1" si="17"/>
        <v>-0.23310334905602392</v>
      </c>
    </row>
    <row r="195" spans="1:9" x14ac:dyDescent="0.3">
      <c r="A195" s="1">
        <v>40459</v>
      </c>
      <c r="B195" t="s">
        <v>0</v>
      </c>
      <c r="C195">
        <v>267.17401169999999</v>
      </c>
      <c r="D195" s="2">
        <f t="shared" si="13"/>
        <v>1.1961961110062659E-2</v>
      </c>
      <c r="E195" s="2">
        <f t="shared" ca="1" si="14"/>
        <v>1.6172611093319682</v>
      </c>
      <c r="F195">
        <f t="shared" ca="1" si="15"/>
        <v>1.6241716799737764</v>
      </c>
      <c r="G195" s="3">
        <f t="shared" ca="1" si="18"/>
        <v>1.7140597960969077</v>
      </c>
      <c r="H195">
        <f t="shared" ca="1" si="16"/>
        <v>0.94755835454059667</v>
      </c>
      <c r="I195">
        <f t="shared" ca="1" si="17"/>
        <v>-0.97005014349418806</v>
      </c>
    </row>
    <row r="196" spans="1:9" x14ac:dyDescent="0.3">
      <c r="A196" s="1">
        <v>40462</v>
      </c>
      <c r="B196" t="s">
        <v>0</v>
      </c>
      <c r="C196">
        <v>268.41437000000002</v>
      </c>
      <c r="D196" s="2">
        <f t="shared" ref="D196:D259" si="19">(C196-C195)/C195</f>
        <v>4.6425110440486209E-3</v>
      </c>
      <c r="E196" s="2">
        <f t="shared" ca="1" si="14"/>
        <v>-0.14264519753618635</v>
      </c>
      <c r="F196">
        <f t="shared" ca="1" si="15"/>
        <v>-0.14115429039448726</v>
      </c>
      <c r="G196" s="3">
        <f t="shared" ca="1" si="18"/>
        <v>1.7149474417948103</v>
      </c>
      <c r="H196">
        <f t="shared" ca="1" si="16"/>
        <v>-8.2308231118010014E-2</v>
      </c>
      <c r="I196">
        <f t="shared" ca="1" si="17"/>
        <v>3.9147217303649953</v>
      </c>
    </row>
    <row r="197" spans="1:9" x14ac:dyDescent="0.3">
      <c r="A197" s="1">
        <v>40463</v>
      </c>
      <c r="B197" t="s">
        <v>0</v>
      </c>
      <c r="C197">
        <v>269.68460540000001</v>
      </c>
      <c r="D197" s="2">
        <f t="shared" si="19"/>
        <v>4.7323673468003596E-3</v>
      </c>
      <c r="E197" s="2">
        <f t="shared" ca="1" si="14"/>
        <v>-1.4185732916457001</v>
      </c>
      <c r="F197">
        <f t="shared" ca="1" si="15"/>
        <v>-1.4274062016778455</v>
      </c>
      <c r="G197" s="3">
        <f t="shared" ca="1" si="18"/>
        <v>1.7095679736501714</v>
      </c>
      <c r="H197">
        <f t="shared" ca="1" si="16"/>
        <v>-0.83495141677819906</v>
      </c>
      <c r="I197">
        <f t="shared" ca="1" si="17"/>
        <v>-0.71172889618599378</v>
      </c>
    </row>
    <row r="198" spans="1:9" x14ac:dyDescent="0.3">
      <c r="A198" s="1">
        <v>40464</v>
      </c>
      <c r="B198" t="s">
        <v>0</v>
      </c>
      <c r="C198">
        <v>270.63605360000003</v>
      </c>
      <c r="D198" s="2">
        <f t="shared" si="19"/>
        <v>3.5280033822798836E-3</v>
      </c>
      <c r="E198" s="2">
        <f t="shared" ref="E198:E261" ca="1" si="20">$N$9*D197+$N$10*D196+F198</f>
        <v>1.3348779022236814</v>
      </c>
      <c r="F198">
        <f t="shared" ref="F198:F261" ca="1" si="21">G198*H198</f>
        <v>1.3305759975326135</v>
      </c>
      <c r="G198" s="3">
        <f t="shared" ca="1" si="18"/>
        <v>1.7091157630494986</v>
      </c>
      <c r="H198">
        <f t="shared" ref="H198:H261" ca="1" si="22">_xlfn.NORM.S.INV(RAND())</f>
        <v>0.77851718783432577</v>
      </c>
      <c r="I198">
        <f t="shared" ref="I198:I261" ca="1" si="23">-LN(F198^2)-(D198^2)/(F198^2)</f>
        <v>-0.57123088904263675</v>
      </c>
    </row>
    <row r="199" spans="1:9" x14ac:dyDescent="0.3">
      <c r="A199" s="1">
        <v>40465</v>
      </c>
      <c r="B199" t="s">
        <v>0</v>
      </c>
      <c r="C199">
        <v>269.45547920000001</v>
      </c>
      <c r="D199" s="2">
        <f t="shared" si="19"/>
        <v>-4.3622214568089304E-3</v>
      </c>
      <c r="E199" s="2">
        <f t="shared" ca="1" si="20"/>
        <v>-1.8439549643543955</v>
      </c>
      <c r="F199">
        <f t="shared" ca="1" si="21"/>
        <v>-1.8479537225563805</v>
      </c>
      <c r="G199" s="3">
        <f t="shared" ref="G199:G262" ca="1" si="24">SQRT($N$6+$N$7*(H198^2)+$N$8*(G198^2))</f>
        <v>1.7080297608795989</v>
      </c>
      <c r="H199">
        <f t="shared" ca="1" si="22"/>
        <v>-1.0819212667610216</v>
      </c>
      <c r="I199">
        <f t="shared" ca="1" si="23"/>
        <v>-1.22816343428236</v>
      </c>
    </row>
    <row r="200" spans="1:9" x14ac:dyDescent="0.3">
      <c r="A200" s="1">
        <v>40466</v>
      </c>
      <c r="B200" t="s">
        <v>0</v>
      </c>
      <c r="C200">
        <v>299.60253410000001</v>
      </c>
      <c r="D200" s="2">
        <f t="shared" si="19"/>
        <v>0.11188139498779211</v>
      </c>
      <c r="E200" s="2">
        <f t="shared" ca="1" si="20"/>
        <v>-0.45995270961832768</v>
      </c>
      <c r="F200">
        <f t="shared" ca="1" si="21"/>
        <v>-0.4608489219915029</v>
      </c>
      <c r="G200" s="3">
        <f t="shared" ca="1" si="24"/>
        <v>1.7109294165346316</v>
      </c>
      <c r="H200">
        <f t="shared" ca="1" si="22"/>
        <v>-0.26935589366680029</v>
      </c>
      <c r="I200">
        <f t="shared" ca="1" si="23"/>
        <v>1.4904315812846856</v>
      </c>
    </row>
    <row r="201" spans="1:9" x14ac:dyDescent="0.3">
      <c r="A201" s="1">
        <v>40469</v>
      </c>
      <c r="B201" t="s">
        <v>0</v>
      </c>
      <c r="C201">
        <v>307.70218770000002</v>
      </c>
      <c r="D201" s="2">
        <f t="shared" si="19"/>
        <v>2.7034663189118902E-2</v>
      </c>
      <c r="E201" s="2">
        <f t="shared" ca="1" si="20"/>
        <v>3.889981758835076E-2</v>
      </c>
      <c r="F201">
        <f t="shared" ca="1" si="21"/>
        <v>8.2569930572600186E-3</v>
      </c>
      <c r="G201" s="3">
        <f t="shared" ca="1" si="24"/>
        <v>1.7060624085475293</v>
      </c>
      <c r="H201">
        <f t="shared" ca="1" si="22"/>
        <v>4.8397954353203761E-3</v>
      </c>
      <c r="I201">
        <f t="shared" ca="1" si="23"/>
        <v>-1.1266919265091708</v>
      </c>
    </row>
    <row r="202" spans="1:9" x14ac:dyDescent="0.3">
      <c r="A202" s="1">
        <v>40470</v>
      </c>
      <c r="B202" t="s">
        <v>0</v>
      </c>
      <c r="C202">
        <v>302.78063980000002</v>
      </c>
      <c r="D202" s="2">
        <f t="shared" si="19"/>
        <v>-1.5994517090656378E-2</v>
      </c>
      <c r="E202" s="2">
        <f t="shared" ca="1" si="20"/>
        <v>0.45063762871642754</v>
      </c>
      <c r="F202">
        <f t="shared" ca="1" si="21"/>
        <v>0.37290865126196543</v>
      </c>
      <c r="G202" s="3">
        <f t="shared" ca="1" si="24"/>
        <v>1.7007437368113607</v>
      </c>
      <c r="H202">
        <f t="shared" ca="1" si="22"/>
        <v>0.2192621046843384</v>
      </c>
      <c r="I202">
        <f t="shared" ca="1" si="23"/>
        <v>1.9710039251556468</v>
      </c>
    </row>
    <row r="203" spans="1:9" x14ac:dyDescent="0.3">
      <c r="A203" s="1">
        <v>40471</v>
      </c>
      <c r="B203" t="s">
        <v>0</v>
      </c>
      <c r="C203">
        <v>302.85534730000001</v>
      </c>
      <c r="D203" s="2">
        <f t="shared" si="19"/>
        <v>2.4673803466871515E-4</v>
      </c>
      <c r="E203" s="2">
        <f t="shared" ca="1" si="20"/>
        <v>1.8600438883375165</v>
      </c>
      <c r="F203">
        <f t="shared" ca="1" si="21"/>
        <v>1.8479785050807678</v>
      </c>
      <c r="G203" s="3">
        <f t="shared" ca="1" si="24"/>
        <v>1.6958306569302619</v>
      </c>
      <c r="H203">
        <f t="shared" ca="1" si="22"/>
        <v>1.0897187744122512</v>
      </c>
      <c r="I203">
        <f t="shared" ca="1" si="23"/>
        <v>-1.2281847012310956</v>
      </c>
    </row>
    <row r="204" spans="1:9" x14ac:dyDescent="0.3">
      <c r="A204" s="1">
        <v>40472</v>
      </c>
      <c r="B204" t="s">
        <v>0</v>
      </c>
      <c r="C204">
        <v>304.85284819999998</v>
      </c>
      <c r="D204" s="2">
        <f t="shared" si="19"/>
        <v>6.5955609428989511E-3</v>
      </c>
      <c r="E204" s="2">
        <f t="shared" ca="1" si="20"/>
        <v>-2.0467222965443375</v>
      </c>
      <c r="F204">
        <f t="shared" ca="1" si="21"/>
        <v>-2.0368361323252984</v>
      </c>
      <c r="G204" s="3">
        <f t="shared" ca="1" si="24"/>
        <v>1.6990577504214455</v>
      </c>
      <c r="H204">
        <f t="shared" ca="1" si="22"/>
        <v>-1.1988033554598532</v>
      </c>
      <c r="I204">
        <f t="shared" ca="1" si="23"/>
        <v>-1.422805862381666</v>
      </c>
    </row>
    <row r="205" spans="1:9" x14ac:dyDescent="0.3">
      <c r="A205" s="1">
        <v>40473</v>
      </c>
      <c r="B205" t="s">
        <v>0</v>
      </c>
      <c r="C205">
        <v>305.1218609</v>
      </c>
      <c r="D205" s="2">
        <f t="shared" si="19"/>
        <v>8.8243459619420043E-4</v>
      </c>
      <c r="E205" s="2">
        <f t="shared" ca="1" si="20"/>
        <v>1.2010366321369486</v>
      </c>
      <c r="F205">
        <f t="shared" ca="1" si="21"/>
        <v>1.1989164208432848</v>
      </c>
      <c r="G205" s="3">
        <f t="shared" ca="1" si="24"/>
        <v>1.703991216221872</v>
      </c>
      <c r="H205">
        <f t="shared" ca="1" si="22"/>
        <v>0.70359307573283714</v>
      </c>
      <c r="I205">
        <f t="shared" ca="1" si="23"/>
        <v>-0.36283687419333055</v>
      </c>
    </row>
    <row r="206" spans="1:9" x14ac:dyDescent="0.3">
      <c r="A206" s="1">
        <v>40476</v>
      </c>
      <c r="B206" t="s">
        <v>0</v>
      </c>
      <c r="C206">
        <v>307.09943390000001</v>
      </c>
      <c r="D206" s="2">
        <f t="shared" si="19"/>
        <v>6.4812563549752743E-3</v>
      </c>
      <c r="E206" s="2">
        <f t="shared" ca="1" si="20"/>
        <v>8.8999948762142622E-2</v>
      </c>
      <c r="F206">
        <f t="shared" ca="1" si="21"/>
        <v>8.4629803243302479E-2</v>
      </c>
      <c r="G206" s="3">
        <f t="shared" ca="1" si="24"/>
        <v>1.7021965810645361</v>
      </c>
      <c r="H206">
        <f t="shared" ca="1" si="22"/>
        <v>4.9717996255388947E-2</v>
      </c>
      <c r="I206">
        <f t="shared" ca="1" si="23"/>
        <v>4.9330725301734812</v>
      </c>
    </row>
    <row r="207" spans="1:9" x14ac:dyDescent="0.3">
      <c r="A207" s="1">
        <v>40477</v>
      </c>
      <c r="B207" t="s">
        <v>0</v>
      </c>
      <c r="C207">
        <v>308.14551749999998</v>
      </c>
      <c r="D207" s="2">
        <f t="shared" si="19"/>
        <v>3.406335162247834E-3</v>
      </c>
      <c r="E207" s="2">
        <f t="shared" ca="1" si="20"/>
        <v>-0.76639456114056959</v>
      </c>
      <c r="F207">
        <f t="shared" ca="1" si="21"/>
        <v>-0.76887653690602598</v>
      </c>
      <c r="G207" s="3">
        <f t="shared" ca="1" si="24"/>
        <v>1.696942483307901</v>
      </c>
      <c r="H207">
        <f t="shared" ca="1" si="22"/>
        <v>-0.45309522536511188</v>
      </c>
      <c r="I207">
        <f t="shared" ca="1" si="23"/>
        <v>0.52563011776234014</v>
      </c>
    </row>
    <row r="208" spans="1:9" x14ac:dyDescent="0.3">
      <c r="A208" s="1">
        <v>40478</v>
      </c>
      <c r="B208" t="s">
        <v>0</v>
      </c>
      <c r="C208">
        <v>307.0845109</v>
      </c>
      <c r="D208" s="2">
        <f t="shared" si="19"/>
        <v>-3.4431998511871417E-3</v>
      </c>
      <c r="E208" s="2">
        <f t="shared" ca="1" si="20"/>
        <v>-1.1966585914071506</v>
      </c>
      <c r="F208">
        <f t="shared" ca="1" si="21"/>
        <v>-1.2017100997607628</v>
      </c>
      <c r="G208" s="3">
        <f t="shared" ca="1" si="24"/>
        <v>1.6931930466528777</v>
      </c>
      <c r="H208">
        <f t="shared" ca="1" si="22"/>
        <v>-0.70973011738756919</v>
      </c>
      <c r="I208">
        <f t="shared" ca="1" si="23"/>
        <v>-0.36749946057878458</v>
      </c>
    </row>
    <row r="209" spans="1:9" x14ac:dyDescent="0.3">
      <c r="A209" s="1">
        <v>40479</v>
      </c>
      <c r="B209" t="s">
        <v>0</v>
      </c>
      <c r="C209">
        <v>308.13556870000002</v>
      </c>
      <c r="D209" s="2">
        <f t="shared" si="19"/>
        <v>3.4226988424769286E-3</v>
      </c>
      <c r="E209" s="2">
        <f t="shared" ca="1" si="20"/>
        <v>-2.9029057587135267</v>
      </c>
      <c r="F209">
        <f t="shared" ca="1" si="21"/>
        <v>-2.9040002291697955</v>
      </c>
      <c r="G209" s="3">
        <f t="shared" ca="1" si="24"/>
        <v>1.6916143489334214</v>
      </c>
      <c r="H209">
        <f t="shared" ca="1" si="22"/>
        <v>-1.7167034738152904</v>
      </c>
      <c r="I209">
        <f t="shared" ca="1" si="23"/>
        <v>-2.1321797408893457</v>
      </c>
    </row>
    <row r="210" spans="1:9" x14ac:dyDescent="0.3">
      <c r="A210" s="1">
        <v>40480</v>
      </c>
      <c r="B210" t="s">
        <v>0</v>
      </c>
      <c r="C210">
        <v>305.70465639999998</v>
      </c>
      <c r="D210" s="2">
        <f t="shared" si="19"/>
        <v>-7.8890999512191175E-3</v>
      </c>
      <c r="E210" s="2">
        <f t="shared" ca="1" si="20"/>
        <v>1.9116649214061798</v>
      </c>
      <c r="F210">
        <f t="shared" ca="1" si="21"/>
        <v>1.9127884600748071</v>
      </c>
      <c r="G210" s="3">
        <f t="shared" ca="1" si="24"/>
        <v>1.7073454204950231</v>
      </c>
      <c r="H210">
        <f t="shared" ca="1" si="22"/>
        <v>1.1203289253092197</v>
      </c>
      <c r="I210">
        <f t="shared" ca="1" si="23"/>
        <v>-1.2971412189394129</v>
      </c>
    </row>
    <row r="211" spans="1:9" x14ac:dyDescent="0.3">
      <c r="A211" s="1">
        <v>40483</v>
      </c>
      <c r="B211" t="s">
        <v>0</v>
      </c>
      <c r="C211">
        <v>306.35224060000002</v>
      </c>
      <c r="D211" s="2">
        <f t="shared" si="19"/>
        <v>2.118332797498206E-3</v>
      </c>
      <c r="E211" s="2">
        <f t="shared" ca="1" si="20"/>
        <v>1.2751220887969072</v>
      </c>
      <c r="F211">
        <f t="shared" ca="1" si="21"/>
        <v>1.2753430424930066</v>
      </c>
      <c r="G211" s="3">
        <f t="shared" ca="1" si="24"/>
        <v>1.710850974678207</v>
      </c>
      <c r="H211">
        <f t="shared" ca="1" si="22"/>
        <v>0.74544367766040232</v>
      </c>
      <c r="I211">
        <f t="shared" ca="1" si="23"/>
        <v>-0.48643314960541412</v>
      </c>
    </row>
    <row r="212" spans="1:9" x14ac:dyDescent="0.3">
      <c r="A212" s="1">
        <v>40484</v>
      </c>
      <c r="B212" t="s">
        <v>0</v>
      </c>
      <c r="C212">
        <v>306.65113029999998</v>
      </c>
      <c r="D212" s="2">
        <f t="shared" si="19"/>
        <v>9.7564065278117975E-4</v>
      </c>
      <c r="E212" s="2">
        <f t="shared" ca="1" si="20"/>
        <v>1.8115862824189084</v>
      </c>
      <c r="F212">
        <f t="shared" ca="1" si="21"/>
        <v>1.8158671852746346</v>
      </c>
      <c r="G212" s="3">
        <f t="shared" ca="1" si="24"/>
        <v>1.7093852034237702</v>
      </c>
      <c r="H212">
        <f t="shared" ca="1" si="22"/>
        <v>1.0622925608795426</v>
      </c>
      <c r="I212">
        <f t="shared" ca="1" si="23"/>
        <v>-1.1931265719617397</v>
      </c>
    </row>
    <row r="213" spans="1:9" x14ac:dyDescent="0.3">
      <c r="A213" s="1">
        <v>40485</v>
      </c>
      <c r="B213" t="s">
        <v>0</v>
      </c>
      <c r="C213">
        <v>308.93256689999998</v>
      </c>
      <c r="D213" s="2">
        <f t="shared" si="19"/>
        <v>7.43984409177965E-3</v>
      </c>
      <c r="E213" s="2">
        <f t="shared" ca="1" si="20"/>
        <v>1.6219108614029712E-2</v>
      </c>
      <c r="F213">
        <f t="shared" ca="1" si="21"/>
        <v>1.4609127451308527E-2</v>
      </c>
      <c r="G213" s="3">
        <f t="shared" ca="1" si="24"/>
        <v>1.7119664390126226</v>
      </c>
      <c r="H213">
        <f t="shared" ca="1" si="22"/>
        <v>8.5335361245366167E-3</v>
      </c>
      <c r="I213">
        <f t="shared" ca="1" si="23"/>
        <v>8.1928718185538099</v>
      </c>
    </row>
    <row r="214" spans="1:9" x14ac:dyDescent="0.3">
      <c r="A214" s="1">
        <v>40486</v>
      </c>
      <c r="B214" t="s">
        <v>0</v>
      </c>
      <c r="C214">
        <v>310.96995479999998</v>
      </c>
      <c r="D214" s="2">
        <f t="shared" si="19"/>
        <v>6.5949275611965237E-3</v>
      </c>
      <c r="E214" s="2">
        <f t="shared" ca="1" si="20"/>
        <v>2.8823565145745893</v>
      </c>
      <c r="F214">
        <f t="shared" ca="1" si="21"/>
        <v>2.8795306819706301</v>
      </c>
      <c r="G214" s="3">
        <f t="shared" ca="1" si="24"/>
        <v>1.7065761316834691</v>
      </c>
      <c r="H214">
        <f t="shared" ca="1" si="22"/>
        <v>1.6873145173606103</v>
      </c>
      <c r="I214">
        <f t="shared" ca="1" si="23"/>
        <v>-2.1152598918156196</v>
      </c>
    </row>
    <row r="215" spans="1:9" x14ac:dyDescent="0.3">
      <c r="A215" s="1">
        <v>40487</v>
      </c>
      <c r="B215" t="s">
        <v>0</v>
      </c>
      <c r="C215">
        <v>311.37342799999999</v>
      </c>
      <c r="D215" s="2">
        <f t="shared" si="19"/>
        <v>1.297466825242011E-3</v>
      </c>
      <c r="E215" s="2">
        <f t="shared" ca="1" si="20"/>
        <v>-0.62858680281830481</v>
      </c>
      <c r="F215">
        <f t="shared" ca="1" si="21"/>
        <v>-0.63518594864748912</v>
      </c>
      <c r="G215" s="3">
        <f t="shared" ca="1" si="24"/>
        <v>1.7212464778381502</v>
      </c>
      <c r="H215">
        <f t="shared" ca="1" si="22"/>
        <v>-0.36902672384565716</v>
      </c>
      <c r="I215">
        <f t="shared" ca="1" si="23"/>
        <v>0.90767080843523529</v>
      </c>
    </row>
    <row r="216" spans="1:9" x14ac:dyDescent="0.3">
      <c r="A216" s="1">
        <v>40490</v>
      </c>
      <c r="B216" t="s">
        <v>0</v>
      </c>
      <c r="C216">
        <v>312.21528749999999</v>
      </c>
      <c r="D216" s="2">
        <f t="shared" si="19"/>
        <v>2.7036973109985422E-3</v>
      </c>
      <c r="E216" s="2">
        <f t="shared" ca="1" si="20"/>
        <v>1.9378094390858014</v>
      </c>
      <c r="F216">
        <f t="shared" ca="1" si="21"/>
        <v>1.9333159397042354</v>
      </c>
      <c r="G216" s="3">
        <f t="shared" ca="1" si="24"/>
        <v>1.7166965446793492</v>
      </c>
      <c r="H216">
        <f t="shared" ca="1" si="22"/>
        <v>1.1261838591661797</v>
      </c>
      <c r="I216">
        <f t="shared" ca="1" si="23"/>
        <v>-1.3184752200152781</v>
      </c>
    </row>
    <row r="217" spans="1:9" x14ac:dyDescent="0.3">
      <c r="A217" s="1">
        <v>40491</v>
      </c>
      <c r="B217" t="s">
        <v>0</v>
      </c>
      <c r="C217">
        <v>311.2439114</v>
      </c>
      <c r="D217" s="2">
        <f t="shared" si="19"/>
        <v>-3.1112381068143127E-3</v>
      </c>
      <c r="E217" s="2">
        <f t="shared" ca="1" si="20"/>
        <v>-2.1624422699894401</v>
      </c>
      <c r="F217">
        <f t="shared" ca="1" si="21"/>
        <v>-2.1640563473967824</v>
      </c>
      <c r="G217" s="3">
        <f t="shared" ca="1" si="24"/>
        <v>1.7201326654838021</v>
      </c>
      <c r="H217">
        <f t="shared" ca="1" si="22"/>
        <v>-1.2580752582755721</v>
      </c>
      <c r="I217">
        <f t="shared" ca="1" si="23"/>
        <v>-1.5439708653141224</v>
      </c>
    </row>
    <row r="218" spans="1:9" x14ac:dyDescent="0.3">
      <c r="A218" s="1">
        <v>40492</v>
      </c>
      <c r="B218" t="s">
        <v>0</v>
      </c>
      <c r="C218">
        <v>310.27754010000001</v>
      </c>
      <c r="D218" s="2">
        <f t="shared" si="19"/>
        <v>-3.1048681262652697E-3</v>
      </c>
      <c r="E218" s="2">
        <f t="shared" ca="1" si="20"/>
        <v>1.4687413134085729</v>
      </c>
      <c r="F218">
        <f t="shared" ca="1" si="21"/>
        <v>1.4679853937022049</v>
      </c>
      <c r="G218" s="3">
        <f t="shared" ca="1" si="24"/>
        <v>1.7257010181721164</v>
      </c>
      <c r="H218">
        <f t="shared" ca="1" si="22"/>
        <v>0.85066032774154177</v>
      </c>
      <c r="I218">
        <f t="shared" ca="1" si="23"/>
        <v>-0.76778643415006698</v>
      </c>
    </row>
    <row r="219" spans="1:9" x14ac:dyDescent="0.3">
      <c r="A219" s="1">
        <v>40493</v>
      </c>
      <c r="B219" t="s">
        <v>0</v>
      </c>
      <c r="C219">
        <v>307.44315410000002</v>
      </c>
      <c r="D219" s="2">
        <f t="shared" si="19"/>
        <v>-9.13500216318105E-3</v>
      </c>
      <c r="E219" s="2">
        <f t="shared" ca="1" si="20"/>
        <v>-8.6408477890636048E-2</v>
      </c>
      <c r="F219">
        <f t="shared" ca="1" si="21"/>
        <v>-8.3545355822980533E-2</v>
      </c>
      <c r="G219" s="3">
        <f t="shared" ca="1" si="24"/>
        <v>1.7251919548209447</v>
      </c>
      <c r="H219">
        <f t="shared" ca="1" si="22"/>
        <v>-4.8426701498066972E-2</v>
      </c>
      <c r="I219">
        <f t="shared" ca="1" si="23"/>
        <v>4.9527755862050249</v>
      </c>
    </row>
    <row r="220" spans="1:9" x14ac:dyDescent="0.3">
      <c r="A220" s="1">
        <v>40494</v>
      </c>
      <c r="B220" t="s">
        <v>0</v>
      </c>
      <c r="C220">
        <v>300.5191006</v>
      </c>
      <c r="D220" s="2">
        <f t="shared" si="19"/>
        <v>-2.2521410568627828E-2</v>
      </c>
      <c r="E220" s="2">
        <f t="shared" ca="1" si="20"/>
        <v>-2.0643893293499072</v>
      </c>
      <c r="F220">
        <f t="shared" ca="1" si="21"/>
        <v>-2.0597321962763551</v>
      </c>
      <c r="G220" s="3">
        <f t="shared" ca="1" si="24"/>
        <v>1.7196569353730136</v>
      </c>
      <c r="H220">
        <f t="shared" ca="1" si="22"/>
        <v>-1.197757618922739</v>
      </c>
      <c r="I220">
        <f t="shared" ca="1" si="23"/>
        <v>-1.4452715006135155</v>
      </c>
    </row>
    <row r="221" spans="1:9" x14ac:dyDescent="0.3">
      <c r="A221" s="1">
        <v>40497</v>
      </c>
      <c r="B221" t="s">
        <v>0</v>
      </c>
      <c r="C221">
        <v>296.62367760000001</v>
      </c>
      <c r="D221" s="2">
        <f t="shared" si="19"/>
        <v>-1.2962314183100527E-2</v>
      </c>
      <c r="E221" s="2">
        <f t="shared" ca="1" si="20"/>
        <v>1.8691312909690558</v>
      </c>
      <c r="F221">
        <f t="shared" ca="1" si="21"/>
        <v>1.8815347329538739</v>
      </c>
      <c r="G221" s="3">
        <f t="shared" ca="1" si="24"/>
        <v>1.724201841474482</v>
      </c>
      <c r="H221">
        <f t="shared" ca="1" si="22"/>
        <v>1.0912496946093306</v>
      </c>
      <c r="I221">
        <f t="shared" ca="1" si="23"/>
        <v>-1.2642230436619348</v>
      </c>
    </row>
    <row r="222" spans="1:9" x14ac:dyDescent="0.3">
      <c r="A222" s="1">
        <v>40498</v>
      </c>
      <c r="B222" t="s">
        <v>0</v>
      </c>
      <c r="C222">
        <v>290.77060990000001</v>
      </c>
      <c r="D222" s="2">
        <f t="shared" si="19"/>
        <v>-1.9732301033273943E-2</v>
      </c>
      <c r="E222" s="2">
        <f t="shared" ca="1" si="20"/>
        <v>0.83460295672303586</v>
      </c>
      <c r="F222">
        <f t="shared" ca="1" si="21"/>
        <v>0.85249187883100863</v>
      </c>
      <c r="G222" s="3">
        <f t="shared" ca="1" si="24"/>
        <v>1.7269697572167793</v>
      </c>
      <c r="H222">
        <f t="shared" ca="1" si="22"/>
        <v>0.49363451517813633</v>
      </c>
      <c r="I222">
        <f t="shared" ca="1" si="23"/>
        <v>0.31864742656462047</v>
      </c>
    </row>
    <row r="223" spans="1:9" x14ac:dyDescent="0.3">
      <c r="A223" s="1">
        <v>40499</v>
      </c>
      <c r="B223" t="s">
        <v>0</v>
      </c>
      <c r="C223">
        <v>290.68592330000001</v>
      </c>
      <c r="D223" s="2">
        <f t="shared" si="19"/>
        <v>-2.9124883023467401E-4</v>
      </c>
      <c r="E223" s="2">
        <f t="shared" ca="1" si="20"/>
        <v>-1.9531969595953611</v>
      </c>
      <c r="F223">
        <f t="shared" ca="1" si="21"/>
        <v>-1.9392418791280031</v>
      </c>
      <c r="G223" s="3">
        <f t="shared" ca="1" si="24"/>
        <v>1.7230972952755679</v>
      </c>
      <c r="H223">
        <f t="shared" ca="1" si="22"/>
        <v>-1.1254395700376676</v>
      </c>
      <c r="I223">
        <f t="shared" ca="1" si="23"/>
        <v>-1.3245942480454236</v>
      </c>
    </row>
    <row r="224" spans="1:9" x14ac:dyDescent="0.3">
      <c r="A224" s="1">
        <v>40500</v>
      </c>
      <c r="B224" t="s">
        <v>0</v>
      </c>
      <c r="C224">
        <v>297.16664750000001</v>
      </c>
      <c r="D224" s="2">
        <f t="shared" si="19"/>
        <v>2.2294592481217672E-2</v>
      </c>
      <c r="E224" s="2">
        <f t="shared" ca="1" si="20"/>
        <v>0.6495238056090854</v>
      </c>
      <c r="F224">
        <f t="shared" ca="1" si="21"/>
        <v>0.66189788463654242</v>
      </c>
      <c r="G224" s="3">
        <f t="shared" ca="1" si="24"/>
        <v>1.7264115335529542</v>
      </c>
      <c r="H224">
        <f t="shared" ca="1" si="22"/>
        <v>0.38339519388772669</v>
      </c>
      <c r="I224">
        <f t="shared" ca="1" si="23"/>
        <v>0.82415344262660928</v>
      </c>
    </row>
    <row r="225" spans="1:9" x14ac:dyDescent="0.3">
      <c r="A225" s="1">
        <v>40501</v>
      </c>
      <c r="B225" t="s">
        <v>0</v>
      </c>
      <c r="C225">
        <v>294.312364</v>
      </c>
      <c r="D225" s="2">
        <f t="shared" si="19"/>
        <v>-9.6049927675682656E-3</v>
      </c>
      <c r="E225" s="2">
        <f t="shared" ca="1" si="20"/>
        <v>1.5347896003023882</v>
      </c>
      <c r="F225">
        <f t="shared" ca="1" si="21"/>
        <v>1.5283234829979335</v>
      </c>
      <c r="G225" s="3">
        <f t="shared" ca="1" si="24"/>
        <v>1.7218716606691173</v>
      </c>
      <c r="H225">
        <f t="shared" ca="1" si="22"/>
        <v>0.88759430676966289</v>
      </c>
      <c r="I225">
        <f t="shared" ca="1" si="23"/>
        <v>-0.84838224068756962</v>
      </c>
    </row>
    <row r="226" spans="1:9" x14ac:dyDescent="0.3">
      <c r="A226" s="1">
        <v>40504</v>
      </c>
      <c r="B226" t="s">
        <v>0</v>
      </c>
      <c r="C226">
        <v>294.5066084</v>
      </c>
      <c r="D226" s="2">
        <f t="shared" si="19"/>
        <v>6.5999401914355969E-4</v>
      </c>
      <c r="E226" s="2">
        <f t="shared" ca="1" si="20"/>
        <v>-0.19110891096664218</v>
      </c>
      <c r="F226">
        <f t="shared" ca="1" si="21"/>
        <v>-0.20212780318141824</v>
      </c>
      <c r="G226" s="3">
        <f t="shared" ca="1" si="24"/>
        <v>1.7218682624788746</v>
      </c>
      <c r="H226">
        <f t="shared" ca="1" si="22"/>
        <v>-0.11738865718474099</v>
      </c>
      <c r="I226">
        <f t="shared" ca="1" si="23"/>
        <v>3.1976995235195447</v>
      </c>
    </row>
    <row r="227" spans="1:9" x14ac:dyDescent="0.3">
      <c r="A227" s="1">
        <v>40505</v>
      </c>
      <c r="B227" t="s">
        <v>0</v>
      </c>
      <c r="C227">
        <v>290.41694100000001</v>
      </c>
      <c r="D227" s="2">
        <f t="shared" si="19"/>
        <v>-1.3886504694133703E-2</v>
      </c>
      <c r="E227" s="2">
        <f t="shared" ca="1" si="20"/>
        <v>8.6549664615661909E-2</v>
      </c>
      <c r="F227">
        <f t="shared" ca="1" si="21"/>
        <v>9.2333874486089276E-2</v>
      </c>
      <c r="G227" s="3">
        <f t="shared" ca="1" si="24"/>
        <v>1.7164536161696904</v>
      </c>
      <c r="H227">
        <f t="shared" ca="1" si="22"/>
        <v>5.3793399143598562E-2</v>
      </c>
      <c r="I227">
        <f t="shared" ca="1" si="23"/>
        <v>4.7420699027511422</v>
      </c>
    </row>
    <row r="228" spans="1:9" x14ac:dyDescent="0.3">
      <c r="A228" s="1">
        <v>40506</v>
      </c>
      <c r="B228" t="s">
        <v>0</v>
      </c>
      <c r="C228">
        <v>296.37462319999997</v>
      </c>
      <c r="D228" s="2">
        <f t="shared" si="19"/>
        <v>2.0514237838487409E-2</v>
      </c>
      <c r="E228" s="2">
        <f t="shared" ca="1" si="20"/>
        <v>0.5000015890088475</v>
      </c>
      <c r="F228">
        <f t="shared" ca="1" si="21"/>
        <v>0.50373108870257355</v>
      </c>
      <c r="G228" s="3">
        <f t="shared" ca="1" si="24"/>
        <v>1.7110285356974706</v>
      </c>
      <c r="H228">
        <f t="shared" ca="1" si="22"/>
        <v>0.29440250597412537</v>
      </c>
      <c r="I228">
        <f t="shared" ca="1" si="23"/>
        <v>1.3697669233775414</v>
      </c>
    </row>
    <row r="229" spans="1:9" x14ac:dyDescent="0.3">
      <c r="A229" s="1">
        <v>40508</v>
      </c>
      <c r="B229" t="s">
        <v>0</v>
      </c>
      <c r="C229">
        <v>293.89891069999999</v>
      </c>
      <c r="D229" s="2">
        <f t="shared" si="19"/>
        <v>-8.3533214594061992E-3</v>
      </c>
      <c r="E229" s="2">
        <f t="shared" ca="1" si="20"/>
        <v>-1.2000478830807866</v>
      </c>
      <c r="F229">
        <f t="shared" ca="1" si="21"/>
        <v>-1.1975174392278407</v>
      </c>
      <c r="G229" s="3">
        <f t="shared" ca="1" si="24"/>
        <v>1.706259753990254</v>
      </c>
      <c r="H229">
        <f t="shared" ca="1" si="22"/>
        <v>-0.70183771048184773</v>
      </c>
      <c r="I229">
        <f t="shared" ca="1" si="23"/>
        <v>-0.36054988450230752</v>
      </c>
    </row>
    <row r="230" spans="1:9" x14ac:dyDescent="0.3">
      <c r="A230" s="1">
        <v>40511</v>
      </c>
      <c r="B230" t="s">
        <v>0</v>
      </c>
      <c r="C230">
        <v>289.96863689999998</v>
      </c>
      <c r="D230" s="2">
        <f t="shared" si="19"/>
        <v>-1.33728763765711E-2</v>
      </c>
      <c r="E230" s="2">
        <f t="shared" ca="1" si="20"/>
        <v>3.5041322254731404</v>
      </c>
      <c r="F230">
        <f t="shared" ca="1" si="21"/>
        <v>3.4938487490881149</v>
      </c>
      <c r="G230" s="3">
        <f t="shared" ca="1" si="24"/>
        <v>1.7044154178519169</v>
      </c>
      <c r="H230">
        <f t="shared" ca="1" si="22"/>
        <v>2.0498809811820582</v>
      </c>
      <c r="I230">
        <f t="shared" ca="1" si="23"/>
        <v>-2.5020224941680183</v>
      </c>
    </row>
    <row r="231" spans="1:9" x14ac:dyDescent="0.3">
      <c r="A231" s="1">
        <v>40512</v>
      </c>
      <c r="B231" t="s">
        <v>0</v>
      </c>
      <c r="C231">
        <v>276.8178881</v>
      </c>
      <c r="D231" s="2">
        <f t="shared" si="19"/>
        <v>-4.5352314445424681E-2</v>
      </c>
      <c r="E231" s="2">
        <f t="shared" ca="1" si="20"/>
        <v>1.6796220844602276</v>
      </c>
      <c r="F231">
        <f t="shared" ca="1" si="21"/>
        <v>1.6888109997242928</v>
      </c>
      <c r="G231" s="3">
        <f t="shared" ca="1" si="24"/>
        <v>1.7285837502547825</v>
      </c>
      <c r="H231">
        <f t="shared" ca="1" si="22"/>
        <v>0.97699113478034982</v>
      </c>
      <c r="I231">
        <f t="shared" ca="1" si="23"/>
        <v>-1.0487706303417028</v>
      </c>
    </row>
    <row r="232" spans="1:9" x14ac:dyDescent="0.3">
      <c r="A232" s="1">
        <v>40513</v>
      </c>
      <c r="B232" t="s">
        <v>0</v>
      </c>
      <c r="C232">
        <v>281.12175910000002</v>
      </c>
      <c r="D232" s="2">
        <f t="shared" si="19"/>
        <v>1.5547662145465284E-2</v>
      </c>
      <c r="E232" s="2">
        <f t="shared" ca="1" si="20"/>
        <v>1.248543002803471</v>
      </c>
      <c r="F232">
        <f t="shared" ca="1" si="21"/>
        <v>1.2703927415790799</v>
      </c>
      <c r="G232" s="3">
        <f t="shared" ca="1" si="24"/>
        <v>1.7296365887493437</v>
      </c>
      <c r="H232">
        <f t="shared" ca="1" si="22"/>
        <v>0.73448535365320222</v>
      </c>
      <c r="I232">
        <f t="shared" ca="1" si="23"/>
        <v>-0.47880197612643843</v>
      </c>
    </row>
    <row r="233" spans="1:9" x14ac:dyDescent="0.3">
      <c r="A233" s="1">
        <v>40514</v>
      </c>
      <c r="B233" t="s">
        <v>0</v>
      </c>
      <c r="C233">
        <v>284.8428346</v>
      </c>
      <c r="D233" s="2">
        <f t="shared" si="19"/>
        <v>1.3236526094290449E-2</v>
      </c>
      <c r="E233" s="2">
        <f t="shared" ca="1" si="20"/>
        <v>2.7180123189865707E-2</v>
      </c>
      <c r="F233">
        <f t="shared" ca="1" si="21"/>
        <v>5.0785084095354212E-2</v>
      </c>
      <c r="G233" s="3">
        <f t="shared" ca="1" si="24"/>
        <v>1.7277880604985654</v>
      </c>
      <c r="H233">
        <f t="shared" ca="1" si="22"/>
        <v>2.939312133034408E-2</v>
      </c>
      <c r="I233">
        <f t="shared" ca="1" si="23"/>
        <v>5.8923729739785298</v>
      </c>
    </row>
    <row r="234" spans="1:9" x14ac:dyDescent="0.3">
      <c r="A234" s="1">
        <v>40515</v>
      </c>
      <c r="B234" t="s">
        <v>0</v>
      </c>
      <c r="C234">
        <v>285.43063489999997</v>
      </c>
      <c r="D234" s="2">
        <f t="shared" si="19"/>
        <v>2.0635951781107905E-3</v>
      </c>
      <c r="E234" s="2">
        <f t="shared" ca="1" si="20"/>
        <v>-3.4363688305920141</v>
      </c>
      <c r="F234">
        <f t="shared" ca="1" si="21"/>
        <v>-3.4499969831015163</v>
      </c>
      <c r="G234" s="3">
        <f t="shared" ca="1" si="24"/>
        <v>1.7222112627030213</v>
      </c>
      <c r="H234">
        <f t="shared" ca="1" si="22"/>
        <v>-2.0032368024853842</v>
      </c>
      <c r="I234">
        <f t="shared" ca="1" si="23"/>
        <v>-2.4767470709354229</v>
      </c>
    </row>
    <row r="235" spans="1:9" x14ac:dyDescent="0.3">
      <c r="A235" s="1">
        <v>40518</v>
      </c>
      <c r="B235" t="s">
        <v>0</v>
      </c>
      <c r="C235">
        <v>288.10062210000001</v>
      </c>
      <c r="D235" s="2">
        <f t="shared" si="19"/>
        <v>9.354241884146252E-3</v>
      </c>
      <c r="E235" s="2">
        <f t="shared" ca="1" si="20"/>
        <v>-0.97182246427032393</v>
      </c>
      <c r="F235">
        <f t="shared" ca="1" si="21"/>
        <v>-0.98068009812383417</v>
      </c>
      <c r="G235" s="3">
        <f t="shared" ca="1" si="24"/>
        <v>1.7445644056336007</v>
      </c>
      <c r="H235">
        <f t="shared" ca="1" si="22"/>
        <v>-0.56213464802846602</v>
      </c>
      <c r="I235">
        <f t="shared" ca="1" si="23"/>
        <v>3.8926957198530496E-2</v>
      </c>
    </row>
    <row r="236" spans="1:9" x14ac:dyDescent="0.3">
      <c r="A236" s="1">
        <v>40519</v>
      </c>
      <c r="B236" t="s">
        <v>0</v>
      </c>
      <c r="C236">
        <v>292.4742258</v>
      </c>
      <c r="D236" s="2">
        <f t="shared" si="19"/>
        <v>1.5180820048635326E-2</v>
      </c>
      <c r="E236" s="2">
        <f t="shared" ca="1" si="20"/>
        <v>-1.9317249145788147</v>
      </c>
      <c r="F236">
        <f t="shared" ca="1" si="21"/>
        <v>-1.9357990201341242</v>
      </c>
      <c r="G236" s="3">
        <f t="shared" ca="1" si="24"/>
        <v>1.740962185825788</v>
      </c>
      <c r="H236">
        <f t="shared" ca="1" si="22"/>
        <v>-1.1119133062708766</v>
      </c>
      <c r="I236">
        <f t="shared" ca="1" si="23"/>
        <v>-1.3211018423688148</v>
      </c>
    </row>
    <row r="237" spans="1:9" x14ac:dyDescent="0.3">
      <c r="A237" s="1">
        <v>40520</v>
      </c>
      <c r="B237" t="s">
        <v>0</v>
      </c>
      <c r="C237">
        <v>294.16789349999999</v>
      </c>
      <c r="D237" s="2">
        <f t="shared" si="19"/>
        <v>5.7908271929512081E-3</v>
      </c>
      <c r="E237" s="2">
        <f t="shared" ca="1" si="20"/>
        <v>1.713138582553654</v>
      </c>
      <c r="F237">
        <f t="shared" ca="1" si="21"/>
        <v>1.7027873311249433</v>
      </c>
      <c r="G237" s="3">
        <f t="shared" ca="1" si="24"/>
        <v>1.7437626956976771</v>
      </c>
      <c r="H237">
        <f t="shared" ca="1" si="22"/>
        <v>0.97650175412409568</v>
      </c>
      <c r="I237">
        <f t="shared" ca="1" si="23"/>
        <v>-1.0645445952306507</v>
      </c>
    </row>
    <row r="238" spans="1:9" x14ac:dyDescent="0.3">
      <c r="A238" s="1">
        <v>40521</v>
      </c>
      <c r="B238" t="s">
        <v>0</v>
      </c>
      <c r="C238">
        <v>294.6461046</v>
      </c>
      <c r="D238" s="2">
        <f t="shared" si="19"/>
        <v>1.6256400190730197E-3</v>
      </c>
      <c r="E238" s="2">
        <f t="shared" ca="1" si="20"/>
        <v>-0.7505411301394953</v>
      </c>
      <c r="F238">
        <f t="shared" ca="1" si="21"/>
        <v>-0.76172080119352936</v>
      </c>
      <c r="G238" s="3">
        <f t="shared" ca="1" si="24"/>
        <v>1.7445688776010695</v>
      </c>
      <c r="H238">
        <f t="shared" ca="1" si="22"/>
        <v>-0.43662409147236436</v>
      </c>
      <c r="I238">
        <f t="shared" ca="1" si="23"/>
        <v>0.5443458314687315</v>
      </c>
    </row>
    <row r="239" spans="1:9" x14ac:dyDescent="0.3">
      <c r="A239" s="1">
        <v>40522</v>
      </c>
      <c r="B239" t="s">
        <v>0</v>
      </c>
      <c r="C239">
        <v>294.99977339999998</v>
      </c>
      <c r="D239" s="2">
        <f t="shared" si="19"/>
        <v>1.2003172432233809E-3</v>
      </c>
      <c r="E239" s="2">
        <f t="shared" ca="1" si="20"/>
        <v>4.2345427708198802</v>
      </c>
      <c r="F239">
        <f t="shared" ca="1" si="21"/>
        <v>4.230452132177331</v>
      </c>
      <c r="G239" s="3">
        <f t="shared" ca="1" si="24"/>
        <v>1.7401010115620668</v>
      </c>
      <c r="H239">
        <f t="shared" ca="1" si="22"/>
        <v>2.4311531940204478</v>
      </c>
      <c r="I239">
        <f t="shared" ca="1" si="23"/>
        <v>-2.884617829275661</v>
      </c>
    </row>
    <row r="240" spans="1:9" x14ac:dyDescent="0.3">
      <c r="A240" s="1">
        <v>40525</v>
      </c>
      <c r="B240" t="s">
        <v>0</v>
      </c>
      <c r="C240">
        <v>296.2002761</v>
      </c>
      <c r="D240" s="2">
        <f t="shared" si="19"/>
        <v>4.069503803896873E-3</v>
      </c>
      <c r="E240" s="2">
        <f t="shared" ca="1" si="20"/>
        <v>0.49011000204917182</v>
      </c>
      <c r="F240">
        <f t="shared" ca="1" si="21"/>
        <v>0.48873982825798995</v>
      </c>
      <c r="G240" s="3">
        <f t="shared" ca="1" si="24"/>
        <v>1.7748547979180342</v>
      </c>
      <c r="H240">
        <f t="shared" ca="1" si="22"/>
        <v>0.27536890839256178</v>
      </c>
      <c r="I240">
        <f t="shared" ca="1" si="23"/>
        <v>1.4317806282966583</v>
      </c>
    </row>
    <row r="241" spans="1:9" x14ac:dyDescent="0.3">
      <c r="A241" s="1">
        <v>40526</v>
      </c>
      <c r="B241" t="s">
        <v>0</v>
      </c>
      <c r="C241">
        <v>296.34474660000001</v>
      </c>
      <c r="D241" s="2">
        <f t="shared" si="19"/>
        <v>4.8774600045017066E-4</v>
      </c>
      <c r="E241" s="2">
        <f t="shared" ca="1" si="20"/>
        <v>-3.7706875285169654</v>
      </c>
      <c r="F241">
        <f t="shared" ca="1" si="21"/>
        <v>-3.7726483474950743</v>
      </c>
      <c r="G241" s="3">
        <f t="shared" ca="1" si="24"/>
        <v>1.7692233608556645</v>
      </c>
      <c r="H241">
        <f t="shared" ca="1" si="22"/>
        <v>-2.1323753862657999</v>
      </c>
      <c r="I241">
        <f t="shared" ca="1" si="23"/>
        <v>-2.6555544852713386</v>
      </c>
    </row>
    <row r="242" spans="1:9" x14ac:dyDescent="0.3">
      <c r="A242" s="1">
        <v>40527</v>
      </c>
      <c r="B242" t="s">
        <v>0</v>
      </c>
      <c r="C242">
        <v>294.04835559999998</v>
      </c>
      <c r="D242" s="2">
        <f t="shared" si="19"/>
        <v>-7.7490525016785574E-3</v>
      </c>
      <c r="E242" s="2">
        <f t="shared" ca="1" si="20"/>
        <v>-2.3800849642836641</v>
      </c>
      <c r="F242">
        <f t="shared" ca="1" si="21"/>
        <v>-2.3827644598647821</v>
      </c>
      <c r="G242" s="3">
        <f t="shared" ca="1" si="24"/>
        <v>1.7938709041458818</v>
      </c>
      <c r="H242">
        <f t="shared" ca="1" si="22"/>
        <v>-1.3282809004582696</v>
      </c>
      <c r="I242">
        <f t="shared" ca="1" si="23"/>
        <v>-1.7365332790869197</v>
      </c>
    </row>
    <row r="243" spans="1:9" x14ac:dyDescent="0.3">
      <c r="A243" s="1">
        <v>40528</v>
      </c>
      <c r="B243" t="s">
        <v>0</v>
      </c>
      <c r="C243">
        <v>294.75071889999998</v>
      </c>
      <c r="D243" s="2">
        <f t="shared" si="19"/>
        <v>2.3885979520845918E-3</v>
      </c>
      <c r="E243" s="2">
        <f t="shared" ca="1" si="20"/>
        <v>-0.98175995424235873</v>
      </c>
      <c r="F243">
        <f t="shared" ca="1" si="21"/>
        <v>-0.97975317241308046</v>
      </c>
      <c r="G243" s="3">
        <f t="shared" ca="1" si="24"/>
        <v>1.7993231624892521</v>
      </c>
      <c r="H243">
        <f t="shared" ca="1" si="22"/>
        <v>-0.54451206589129475</v>
      </c>
      <c r="I243">
        <f t="shared" ca="1" si="23"/>
        <v>4.0903264207309643E-2</v>
      </c>
    </row>
    <row r="244" spans="1:9" x14ac:dyDescent="0.3">
      <c r="A244" s="1">
        <v>40529</v>
      </c>
      <c r="B244" t="s">
        <v>0</v>
      </c>
      <c r="C244">
        <v>294.29741009999998</v>
      </c>
      <c r="D244" s="2">
        <f t="shared" si="19"/>
        <v>-1.5379395907556583E-3</v>
      </c>
      <c r="E244" s="2">
        <f t="shared" ca="1" si="20"/>
        <v>0.87490434545874229</v>
      </c>
      <c r="F244">
        <f t="shared" ca="1" si="21"/>
        <v>0.8790174575012315</v>
      </c>
      <c r="G244" s="3">
        <f t="shared" ca="1" si="24"/>
        <v>1.7948740381711648</v>
      </c>
      <c r="H244">
        <f t="shared" ca="1" si="22"/>
        <v>0.48973768565780862</v>
      </c>
      <c r="I244">
        <f t="shared" ca="1" si="23"/>
        <v>0.25789798056883834</v>
      </c>
    </row>
    <row r="245" spans="1:9" x14ac:dyDescent="0.3">
      <c r="A245" s="1">
        <v>40532</v>
      </c>
      <c r="B245" t="s">
        <v>0</v>
      </c>
      <c r="C245">
        <v>296.4194536</v>
      </c>
      <c r="D245" s="2">
        <f t="shared" si="19"/>
        <v>7.2105408582391669E-3</v>
      </c>
      <c r="E245" s="2">
        <f t="shared" ca="1" si="20"/>
        <v>-1.4572161998163404</v>
      </c>
      <c r="F245">
        <f t="shared" ca="1" si="21"/>
        <v>-1.4582450114376337</v>
      </c>
      <c r="G245" s="3">
        <f t="shared" ca="1" si="24"/>
        <v>1.7901018210427153</v>
      </c>
      <c r="H245">
        <f t="shared" ca="1" si="22"/>
        <v>-0.81461567956409398</v>
      </c>
      <c r="I245">
        <f t="shared" ca="1" si="23"/>
        <v>-0.7544917812083779</v>
      </c>
    </row>
    <row r="246" spans="1:9" x14ac:dyDescent="0.3">
      <c r="A246" s="1">
        <v>40533</v>
      </c>
      <c r="B246" t="s">
        <v>0</v>
      </c>
      <c r="C246">
        <v>300.40951189999998</v>
      </c>
      <c r="D246" s="2">
        <f t="shared" si="19"/>
        <v>1.3460851680080106E-2</v>
      </c>
      <c r="E246" s="2">
        <f t="shared" ca="1" si="20"/>
        <v>1.5364649737678229</v>
      </c>
      <c r="F246">
        <f t="shared" ca="1" si="21"/>
        <v>1.5352727095805985</v>
      </c>
      <c r="G246" s="3">
        <f t="shared" ca="1" si="24"/>
        <v>1.7882403779363416</v>
      </c>
      <c r="H246">
        <f t="shared" ca="1" si="22"/>
        <v>0.85853821920312978</v>
      </c>
      <c r="I246">
        <f t="shared" ca="1" si="23"/>
        <v>-0.85749292548098677</v>
      </c>
    </row>
    <row r="247" spans="1:9" x14ac:dyDescent="0.3">
      <c r="A247" s="1">
        <v>40534</v>
      </c>
      <c r="B247" t="s">
        <v>0</v>
      </c>
      <c r="C247">
        <v>301.61498849999998</v>
      </c>
      <c r="D247" s="2">
        <f t="shared" si="19"/>
        <v>4.0127777325548704E-3</v>
      </c>
      <c r="E247" s="2">
        <f t="shared" ca="1" si="20"/>
        <v>0.66062622123119652</v>
      </c>
      <c r="F247">
        <f t="shared" ca="1" si="21"/>
        <v>0.65212268047855826</v>
      </c>
      <c r="G247" s="3">
        <f t="shared" ca="1" si="24"/>
        <v>1.7868998469186421</v>
      </c>
      <c r="H247">
        <f t="shared" ca="1" si="22"/>
        <v>0.36494640793835692</v>
      </c>
      <c r="I247">
        <f t="shared" ca="1" si="23"/>
        <v>0.85500728457906272</v>
      </c>
    </row>
    <row r="248" spans="1:9" x14ac:dyDescent="0.3">
      <c r="A248" s="1">
        <v>40535</v>
      </c>
      <c r="B248" t="s">
        <v>0</v>
      </c>
      <c r="C248">
        <v>300.9873326</v>
      </c>
      <c r="D248" s="2">
        <f t="shared" si="19"/>
        <v>-2.0809837837352015E-3</v>
      </c>
      <c r="E248" s="2">
        <f t="shared" ca="1" si="20"/>
        <v>-0.13638944923964785</v>
      </c>
      <c r="F248">
        <f t="shared" ca="1" si="21"/>
        <v>-0.14596794876971814</v>
      </c>
      <c r="G248" s="3">
        <f t="shared" ca="1" si="24"/>
        <v>1.7815093827692434</v>
      </c>
      <c r="H248">
        <f t="shared" ca="1" si="22"/>
        <v>-8.1934987366061585E-2</v>
      </c>
      <c r="I248">
        <f t="shared" ca="1" si="23"/>
        <v>3.8485331745214233</v>
      </c>
    </row>
    <row r="249" spans="1:9" x14ac:dyDescent="0.3">
      <c r="A249" s="1">
        <v>40539</v>
      </c>
      <c r="B249" t="s">
        <v>0</v>
      </c>
      <c r="C249">
        <v>300.06579169999998</v>
      </c>
      <c r="D249" s="2">
        <f t="shared" si="19"/>
        <v>-3.0617265252977127E-3</v>
      </c>
      <c r="E249" s="2">
        <f t="shared" ca="1" si="20"/>
        <v>1.0698926370816733</v>
      </c>
      <c r="F249">
        <f t="shared" ca="1" si="21"/>
        <v>1.0680143710856336</v>
      </c>
      <c r="G249" s="3">
        <f t="shared" ca="1" si="24"/>
        <v>1.7753293553816982</v>
      </c>
      <c r="H249">
        <f t="shared" ca="1" si="22"/>
        <v>0.60158661143526748</v>
      </c>
      <c r="I249">
        <f t="shared" ca="1" si="23"/>
        <v>-0.13161061127616755</v>
      </c>
    </row>
    <row r="250" spans="1:9" x14ac:dyDescent="0.3">
      <c r="A250" s="1">
        <v>40540</v>
      </c>
      <c r="B250" t="s">
        <v>0</v>
      </c>
      <c r="C250">
        <v>298.34224749999998</v>
      </c>
      <c r="D250" s="2">
        <f t="shared" si="19"/>
        <v>-5.7438876662194091E-3</v>
      </c>
      <c r="E250" s="2">
        <f t="shared" ca="1" si="20"/>
        <v>-2.8179182960562823</v>
      </c>
      <c r="F250">
        <f t="shared" ca="1" si="21"/>
        <v>-2.8157095732878705</v>
      </c>
      <c r="G250" s="3">
        <f t="shared" ca="1" si="24"/>
        <v>1.7716339382204049</v>
      </c>
      <c r="H250">
        <f t="shared" ca="1" si="22"/>
        <v>-1.5893292133002561</v>
      </c>
      <c r="I250">
        <f t="shared" ca="1" si="23"/>
        <v>-2.0704327583508149</v>
      </c>
    </row>
    <row r="251" spans="1:9" x14ac:dyDescent="0.3">
      <c r="A251" s="1">
        <v>40541</v>
      </c>
      <c r="B251" t="s">
        <v>0</v>
      </c>
      <c r="C251">
        <v>299.3783818</v>
      </c>
      <c r="D251" s="2">
        <f t="shared" si="19"/>
        <v>3.4729720939037129E-3</v>
      </c>
      <c r="E251" s="2">
        <f t="shared" ca="1" si="20"/>
        <v>0.49785262708586209</v>
      </c>
      <c r="F251">
        <f t="shared" ca="1" si="21"/>
        <v>0.50147178287898397</v>
      </c>
      <c r="G251" s="3">
        <f t="shared" ca="1" si="24"/>
        <v>1.7826377810599334</v>
      </c>
      <c r="H251">
        <f t="shared" ca="1" si="22"/>
        <v>0.28130884928334421</v>
      </c>
      <c r="I251">
        <f t="shared" ca="1" si="23"/>
        <v>1.3803679138591243</v>
      </c>
    </row>
    <row r="252" spans="1:9" x14ac:dyDescent="0.3">
      <c r="A252" s="1">
        <v>40542</v>
      </c>
      <c r="B252" t="s">
        <v>0</v>
      </c>
      <c r="C252">
        <v>298.31237049999999</v>
      </c>
      <c r="D252" s="2">
        <f t="shared" si="19"/>
        <v>-3.560749088129428E-3</v>
      </c>
      <c r="E252" s="2">
        <f t="shared" ca="1" si="20"/>
        <v>0.35915932022420072</v>
      </c>
      <c r="F252">
        <f t="shared" ca="1" si="21"/>
        <v>0.36170049985155467</v>
      </c>
      <c r="G252" s="3">
        <f t="shared" ca="1" si="24"/>
        <v>1.7769342743689389</v>
      </c>
      <c r="H252">
        <f t="shared" ca="1" si="22"/>
        <v>0.20355311114701138</v>
      </c>
      <c r="I252">
        <f t="shared" ca="1" si="23"/>
        <v>2.0337806025935565</v>
      </c>
    </row>
    <row r="253" spans="1:9" x14ac:dyDescent="0.3">
      <c r="A253" s="1">
        <v>40543</v>
      </c>
      <c r="B253" t="s">
        <v>0</v>
      </c>
      <c r="C253">
        <v>295.87648380000002</v>
      </c>
      <c r="D253" s="2">
        <f t="shared" si="19"/>
        <v>-8.1655571169146988E-3</v>
      </c>
      <c r="E253" s="2">
        <f t="shared" ca="1" si="20"/>
        <v>4.5705384203814592E-2</v>
      </c>
      <c r="F253">
        <f t="shared" ca="1" si="21"/>
        <v>4.4604468270278558E-2</v>
      </c>
      <c r="G253" s="3">
        <f t="shared" ca="1" si="24"/>
        <v>1.7710441881350982</v>
      </c>
      <c r="H253">
        <f t="shared" ca="1" si="22"/>
        <v>2.518540676122083E-2</v>
      </c>
      <c r="I253">
        <f t="shared" ca="1" si="23"/>
        <v>6.1863293554317043</v>
      </c>
    </row>
    <row r="254" spans="1:9" x14ac:dyDescent="0.3">
      <c r="A254" s="1">
        <v>40546</v>
      </c>
      <c r="B254" t="s">
        <v>0</v>
      </c>
      <c r="C254">
        <v>301.04711650000002</v>
      </c>
      <c r="D254" s="2">
        <f t="shared" si="19"/>
        <v>1.7475646031724263E-2</v>
      </c>
      <c r="E254" s="2">
        <f t="shared" ca="1" si="20"/>
        <v>0.27334380890419618</v>
      </c>
      <c r="F254">
        <f t="shared" ca="1" si="21"/>
        <v>0.2779957625379329</v>
      </c>
      <c r="G254" s="3">
        <f t="shared" ca="1" si="24"/>
        <v>1.7649471337126559</v>
      </c>
      <c r="H254">
        <f t="shared" ca="1" si="22"/>
        <v>0.15750939913602666</v>
      </c>
      <c r="I254">
        <f t="shared" ca="1" si="23"/>
        <v>2.5563470601034561</v>
      </c>
    </row>
    <row r="255" spans="1:9" x14ac:dyDescent="0.3">
      <c r="A255" s="1">
        <v>40547</v>
      </c>
      <c r="B255" t="s">
        <v>0</v>
      </c>
      <c r="C255">
        <v>299.93627470000001</v>
      </c>
      <c r="D255" s="2">
        <f t="shared" si="19"/>
        <v>-3.6899267228158381E-3</v>
      </c>
      <c r="E255" s="2">
        <f t="shared" ca="1" si="20"/>
        <v>1.0573152624897482</v>
      </c>
      <c r="F255">
        <f t="shared" ca="1" si="21"/>
        <v>1.0571892942433203</v>
      </c>
      <c r="G255" s="3">
        <f t="shared" ca="1" si="24"/>
        <v>1.7590878113472883</v>
      </c>
      <c r="H255">
        <f t="shared" ca="1" si="22"/>
        <v>0.6009872204353558</v>
      </c>
      <c r="I255">
        <f t="shared" ca="1" si="23"/>
        <v>-0.11123973667302604</v>
      </c>
    </row>
    <row r="256" spans="1:9" x14ac:dyDescent="0.3">
      <c r="A256" s="1">
        <v>40548</v>
      </c>
      <c r="B256" t="s">
        <v>0</v>
      </c>
      <c r="C256">
        <v>303.39831659999999</v>
      </c>
      <c r="D256" s="2">
        <f t="shared" si="19"/>
        <v>1.1542591517023913E-2</v>
      </c>
      <c r="E256" s="2">
        <f t="shared" ca="1" si="20"/>
        <v>3.7478143309071514</v>
      </c>
      <c r="F256">
        <f t="shared" ca="1" si="21"/>
        <v>3.7380325124597542</v>
      </c>
      <c r="G256" s="3">
        <f t="shared" ca="1" si="24"/>
        <v>1.7556032148288641</v>
      </c>
      <c r="H256">
        <f t="shared" ca="1" si="22"/>
        <v>2.1292012231956052</v>
      </c>
      <c r="I256">
        <f t="shared" ca="1" si="23"/>
        <v>-2.6371283486314501</v>
      </c>
    </row>
    <row r="257" spans="1:9" x14ac:dyDescent="0.3">
      <c r="A257" s="1">
        <v>40549</v>
      </c>
      <c r="B257" t="s">
        <v>0</v>
      </c>
      <c r="C257">
        <v>305.60504680000003</v>
      </c>
      <c r="D257" s="2">
        <f t="shared" si="19"/>
        <v>7.2733765458210791E-3</v>
      </c>
      <c r="E257" s="2">
        <f t="shared" ca="1" si="20"/>
        <v>-1.168669271491602</v>
      </c>
      <c r="F257">
        <f t="shared" ca="1" si="21"/>
        <v>-1.1698131681913762</v>
      </c>
      <c r="G257" s="3">
        <f t="shared" ca="1" si="24"/>
        <v>1.7805541102815095</v>
      </c>
      <c r="H257">
        <f t="shared" ca="1" si="22"/>
        <v>-0.65699388827134619</v>
      </c>
      <c r="I257">
        <f t="shared" ca="1" si="23"/>
        <v>-0.31372675948195672</v>
      </c>
    </row>
    <row r="258" spans="1:9" x14ac:dyDescent="0.3">
      <c r="A258" s="1">
        <v>40550</v>
      </c>
      <c r="B258" t="s">
        <v>0</v>
      </c>
      <c r="C258">
        <v>307.06955740000001</v>
      </c>
      <c r="D258" s="2">
        <f t="shared" si="19"/>
        <v>4.7921675879862551E-3</v>
      </c>
      <c r="E258" s="2">
        <f t="shared" ca="1" si="20"/>
        <v>-3.5073175286821323</v>
      </c>
      <c r="F258">
        <f t="shared" ca="1" si="21"/>
        <v>-3.5166737318249601</v>
      </c>
      <c r="G258" s="3">
        <f t="shared" ca="1" si="24"/>
        <v>1.7772612726406445</v>
      </c>
      <c r="H258">
        <f t="shared" ca="1" si="22"/>
        <v>-1.9787038551737004</v>
      </c>
      <c r="I258">
        <f t="shared" ca="1" si="23"/>
        <v>-2.5150330175518163</v>
      </c>
    </row>
    <row r="259" spans="1:9" x14ac:dyDescent="0.3">
      <c r="A259" s="1">
        <v>40553</v>
      </c>
      <c r="B259" t="s">
        <v>0</v>
      </c>
      <c r="C259">
        <v>305.9587156</v>
      </c>
      <c r="D259" s="2">
        <f t="shared" si="19"/>
        <v>-3.6175575638485707E-3</v>
      </c>
      <c r="E259" s="2">
        <f t="shared" ca="1" si="20"/>
        <v>-2.4247340026127651</v>
      </c>
      <c r="F259">
        <f t="shared" ca="1" si="21"/>
        <v>-2.4306919689291697</v>
      </c>
      <c r="G259" s="3">
        <f t="shared" ca="1" si="24"/>
        <v>1.7974587007206302</v>
      </c>
      <c r="H259">
        <f t="shared" ca="1" si="22"/>
        <v>-1.3522936398787166</v>
      </c>
      <c r="I259">
        <f t="shared" ca="1" si="23"/>
        <v>-1.7763541703702739</v>
      </c>
    </row>
    <row r="260" spans="1:9" x14ac:dyDescent="0.3">
      <c r="A260" s="1">
        <v>40554</v>
      </c>
      <c r="B260" t="s">
        <v>0</v>
      </c>
      <c r="C260">
        <v>306.85535379999999</v>
      </c>
      <c r="D260" s="2">
        <f t="shared" ref="D260:D323" si="25">(C260-C259)/C259</f>
        <v>2.9305855799585004E-3</v>
      </c>
      <c r="E260" s="2">
        <f t="shared" ca="1" si="20"/>
        <v>0.81864272315865427</v>
      </c>
      <c r="F260">
        <f t="shared" ca="1" si="21"/>
        <v>0.81673728687150682</v>
      </c>
      <c r="G260" s="3">
        <f t="shared" ca="1" si="24"/>
        <v>1.8032745345675618</v>
      </c>
      <c r="H260">
        <f t="shared" ca="1" si="22"/>
        <v>0.4529189933175462</v>
      </c>
      <c r="I260">
        <f t="shared" ca="1" si="23"/>
        <v>0.40486271335428442</v>
      </c>
    </row>
    <row r="261" spans="1:9" x14ac:dyDescent="0.3">
      <c r="A261" s="1">
        <v>40555</v>
      </c>
      <c r="B261" t="s">
        <v>0</v>
      </c>
      <c r="C261">
        <v>307.28376050000003</v>
      </c>
      <c r="D261" s="2">
        <f t="shared" si="25"/>
        <v>1.3961193594792646E-3</v>
      </c>
      <c r="E261" s="2">
        <f t="shared" ca="1" si="20"/>
        <v>-0.36209171353075426</v>
      </c>
      <c r="F261">
        <f t="shared" ca="1" si="21"/>
        <v>-0.36071287172250821</v>
      </c>
      <c r="G261" s="3">
        <f t="shared" ca="1" si="24"/>
        <v>1.798164181183983</v>
      </c>
      <c r="H261">
        <f t="shared" ca="1" si="22"/>
        <v>-0.20060063229877068</v>
      </c>
      <c r="I261">
        <f t="shared" ca="1" si="23"/>
        <v>2.0393310322806428</v>
      </c>
    </row>
    <row r="262" spans="1:9" x14ac:dyDescent="0.3">
      <c r="A262" s="1">
        <v>40556</v>
      </c>
      <c r="B262" t="s">
        <v>0</v>
      </c>
      <c r="C262">
        <v>307.19409960000002</v>
      </c>
      <c r="D262" s="2">
        <f t="shared" si="25"/>
        <v>-2.9178535127961171E-4</v>
      </c>
      <c r="E262" s="2">
        <f t="shared" ref="E262:E325" ca="1" si="26">$N$9*D261+$N$10*D260+F262</f>
        <v>-0.90730841022270403</v>
      </c>
      <c r="F262">
        <f t="shared" ref="F262:F325" ca="1" si="27">G262*H262</f>
        <v>-0.90954955072959909</v>
      </c>
      <c r="G262" s="3">
        <f t="shared" ca="1" si="24"/>
        <v>1.7920121523216166</v>
      </c>
      <c r="H262">
        <f t="shared" ref="H262:H325" ca="1" si="28">_xlfn.NORM.S.INV(RAND())</f>
        <v>-0.50755769125295536</v>
      </c>
      <c r="I262">
        <f t="shared" ref="I262:I325" ca="1" si="29">-LN(F262^2)-(D262^2)/(F262^2)</f>
        <v>0.18961149953011353</v>
      </c>
    </row>
    <row r="263" spans="1:9" x14ac:dyDescent="0.3">
      <c r="A263" s="1">
        <v>40557</v>
      </c>
      <c r="B263" t="s">
        <v>0</v>
      </c>
      <c r="C263">
        <v>310.92512429999999</v>
      </c>
      <c r="D263" s="2">
        <f t="shared" si="25"/>
        <v>1.214549597423315E-2</v>
      </c>
      <c r="E263" s="2">
        <f t="shared" ca="1" si="26"/>
        <v>1.985160861770028</v>
      </c>
      <c r="F263">
        <f t="shared" ca="1" si="27"/>
        <v>1.9843785031630816</v>
      </c>
      <c r="G263" s="3">
        <f t="shared" ref="G263:G326" ca="1" si="30">SQRT($N$6+$N$7*(H262^2)+$N$8*(G262^2))</f>
        <v>1.7873956980551722</v>
      </c>
      <c r="H263">
        <f t="shared" ca="1" si="28"/>
        <v>1.1102066013262997</v>
      </c>
      <c r="I263">
        <f t="shared" ca="1" si="29"/>
        <v>-1.3706489981241992</v>
      </c>
    </row>
    <row r="264" spans="1:9" x14ac:dyDescent="0.3">
      <c r="A264" s="1">
        <v>40561</v>
      </c>
      <c r="B264" t="s">
        <v>0</v>
      </c>
      <c r="C264">
        <v>318.62127370000002</v>
      </c>
      <c r="D264" s="2">
        <f t="shared" si="25"/>
        <v>2.4752420433461975E-2</v>
      </c>
      <c r="E264" s="2">
        <f t="shared" ca="1" si="26"/>
        <v>-1.5870929257093913</v>
      </c>
      <c r="F264">
        <f t="shared" ca="1" si="27"/>
        <v>-1.5905325990926782</v>
      </c>
      <c r="G264" s="3">
        <f t="shared" ca="1" si="30"/>
        <v>1.7893984059922834</v>
      </c>
      <c r="H264">
        <f t="shared" ca="1" si="28"/>
        <v>-0.88886443274250759</v>
      </c>
      <c r="I264">
        <f t="shared" ca="1" si="29"/>
        <v>-0.92838004289970233</v>
      </c>
    </row>
    <row r="265" spans="1:9" x14ac:dyDescent="0.3">
      <c r="A265" s="1">
        <v>40562</v>
      </c>
      <c r="B265" t="s">
        <v>0</v>
      </c>
      <c r="C265">
        <v>314.69597420000002</v>
      </c>
      <c r="D265" s="2">
        <f t="shared" si="25"/>
        <v>-1.2319640350492999E-2</v>
      </c>
      <c r="E265" s="2">
        <f t="shared" ca="1" si="26"/>
        <v>-0.75102729024697934</v>
      </c>
      <c r="F265">
        <f t="shared" ca="1" si="27"/>
        <v>-0.76597056682566245</v>
      </c>
      <c r="G265" s="3">
        <f t="shared" ca="1" si="30"/>
        <v>1.788397190542788</v>
      </c>
      <c r="H265">
        <f t="shared" ca="1" si="28"/>
        <v>-0.42830002802296191</v>
      </c>
      <c r="I265">
        <f t="shared" ca="1" si="29"/>
        <v>0.53296438359215503</v>
      </c>
    </row>
    <row r="266" spans="1:9" x14ac:dyDescent="0.3">
      <c r="A266" s="1">
        <v>40563</v>
      </c>
      <c r="B266" t="s">
        <v>0</v>
      </c>
      <c r="C266">
        <v>312.21528749999999</v>
      </c>
      <c r="D266" s="2">
        <f t="shared" si="25"/>
        <v>-7.8828040501829691E-3</v>
      </c>
      <c r="E266" s="2">
        <f t="shared" ca="1" si="26"/>
        <v>0.73668911928348402</v>
      </c>
      <c r="F266">
        <f t="shared" ca="1" si="27"/>
        <v>0.7249491598118275</v>
      </c>
      <c r="G266" s="3">
        <f t="shared" ca="1" si="30"/>
        <v>1.7833270243004817</v>
      </c>
      <c r="H266">
        <f t="shared" ca="1" si="28"/>
        <v>0.40651498571676281</v>
      </c>
      <c r="I266">
        <f t="shared" ca="1" si="29"/>
        <v>0.6431892668845971</v>
      </c>
    </row>
    <row r="267" spans="1:9" x14ac:dyDescent="0.3">
      <c r="A267" s="1">
        <v>40564</v>
      </c>
      <c r="B267" t="s">
        <v>0</v>
      </c>
      <c r="C267">
        <v>304.77316680000001</v>
      </c>
      <c r="D267" s="2">
        <f t="shared" si="25"/>
        <v>-2.3836503201336595E-2</v>
      </c>
      <c r="E267" s="2">
        <f t="shared" ca="1" si="26"/>
        <v>2.5176003366087136</v>
      </c>
      <c r="F267">
        <f t="shared" ca="1" si="27"/>
        <v>2.5276221157144305</v>
      </c>
      <c r="G267" s="3">
        <f t="shared" ca="1" si="30"/>
        <v>1.7781973259235748</v>
      </c>
      <c r="H267">
        <f t="shared" ca="1" si="28"/>
        <v>1.4214519833458941</v>
      </c>
      <c r="I267">
        <f t="shared" ca="1" si="29"/>
        <v>-1.8546469036967514</v>
      </c>
    </row>
    <row r="268" spans="1:9" x14ac:dyDescent="0.3">
      <c r="A268" s="1">
        <v>40567</v>
      </c>
      <c r="B268" t="s">
        <v>0</v>
      </c>
      <c r="C268">
        <v>304.39956969999997</v>
      </c>
      <c r="D268" s="2">
        <f t="shared" si="25"/>
        <v>-1.2258201859522773E-3</v>
      </c>
      <c r="E268" s="2">
        <f t="shared" ca="1" si="26"/>
        <v>0.29794385560330033</v>
      </c>
      <c r="F268">
        <f t="shared" ca="1" si="27"/>
        <v>0.30995967313248141</v>
      </c>
      <c r="G268" s="3">
        <f t="shared" ca="1" si="30"/>
        <v>1.7856625782621276</v>
      </c>
      <c r="H268">
        <f t="shared" ca="1" si="28"/>
        <v>0.17358244323748193</v>
      </c>
      <c r="I268">
        <f t="shared" ca="1" si="29"/>
        <v>2.3426105130382378</v>
      </c>
    </row>
    <row r="269" spans="1:9" x14ac:dyDescent="0.3">
      <c r="A269" s="1">
        <v>40568</v>
      </c>
      <c r="B269" t="s">
        <v>0</v>
      </c>
      <c r="C269">
        <v>308.79807599999998</v>
      </c>
      <c r="D269" s="2">
        <f t="shared" si="25"/>
        <v>1.4449778310576923E-2</v>
      </c>
      <c r="E269" s="2">
        <f t="shared" ca="1" si="26"/>
        <v>6.6791467350364564E-2</v>
      </c>
      <c r="F269">
        <f t="shared" ca="1" si="27"/>
        <v>8.1999876394628107E-2</v>
      </c>
      <c r="G269" s="3">
        <f t="shared" ca="1" si="30"/>
        <v>1.7795914950328171</v>
      </c>
      <c r="H269">
        <f t="shared" ca="1" si="28"/>
        <v>4.6077921041714105E-2</v>
      </c>
      <c r="I269">
        <f t="shared" ca="1" si="29"/>
        <v>4.9710226209311328</v>
      </c>
    </row>
    <row r="270" spans="1:9" x14ac:dyDescent="0.3">
      <c r="A270" s="1">
        <v>40569</v>
      </c>
      <c r="B270" t="s">
        <v>0</v>
      </c>
      <c r="C270">
        <v>307.09943390000001</v>
      </c>
      <c r="D270" s="2">
        <f t="shared" si="25"/>
        <v>-5.5008182758236237E-3</v>
      </c>
      <c r="E270" s="2">
        <f t="shared" ca="1" si="26"/>
        <v>-3.1747701565992554</v>
      </c>
      <c r="F270">
        <f t="shared" ca="1" si="27"/>
        <v>-3.1783152669334331</v>
      </c>
      <c r="G270" s="3">
        <f t="shared" ca="1" si="30"/>
        <v>1.7734031134286492</v>
      </c>
      <c r="H270">
        <f t="shared" ca="1" si="28"/>
        <v>-1.792212522277896</v>
      </c>
      <c r="I270">
        <f t="shared" ca="1" si="29"/>
        <v>-2.3127055277024122</v>
      </c>
    </row>
    <row r="271" spans="1:9" x14ac:dyDescent="0.3">
      <c r="A271" s="1">
        <v>40570</v>
      </c>
      <c r="B271" t="s">
        <v>0</v>
      </c>
      <c r="C271">
        <v>307.24390440000002</v>
      </c>
      <c r="D271" s="2">
        <f t="shared" si="25"/>
        <v>4.7043557900876764E-4</v>
      </c>
      <c r="E271" s="2">
        <f t="shared" ca="1" si="26"/>
        <v>-2.1272907773894394</v>
      </c>
      <c r="F271">
        <f t="shared" ca="1" si="27"/>
        <v>-2.1346484527214571</v>
      </c>
      <c r="G271" s="3">
        <f t="shared" ca="1" si="30"/>
        <v>1.7889841349699034</v>
      </c>
      <c r="H271">
        <f t="shared" ca="1" si="28"/>
        <v>-1.1932182130599884</v>
      </c>
      <c r="I271">
        <f t="shared" ca="1" si="29"/>
        <v>-1.5166039965195539</v>
      </c>
    </row>
    <row r="272" spans="1:9" x14ac:dyDescent="0.3">
      <c r="A272" s="1">
        <v>40571</v>
      </c>
      <c r="B272" t="s">
        <v>0</v>
      </c>
      <c r="C272">
        <v>299.37337710000003</v>
      </c>
      <c r="D272" s="2">
        <f t="shared" si="25"/>
        <v>-2.5616544990111092E-2</v>
      </c>
      <c r="E272" s="2">
        <f t="shared" ca="1" si="26"/>
        <v>-2.8895739456274692</v>
      </c>
      <c r="F272">
        <f t="shared" ca="1" si="27"/>
        <v>-2.8862888718840702</v>
      </c>
      <c r="G272" s="3">
        <f t="shared" ca="1" si="30"/>
        <v>1.7922435172917579</v>
      </c>
      <c r="H272">
        <f t="shared" ca="1" si="28"/>
        <v>-1.6104334282907682</v>
      </c>
      <c r="I272">
        <f t="shared" ca="1" si="29"/>
        <v>-2.1200218692231187</v>
      </c>
    </row>
    <row r="273" spans="1:9" x14ac:dyDescent="0.3">
      <c r="A273" s="1">
        <v>40574</v>
      </c>
      <c r="B273" t="s">
        <v>0</v>
      </c>
      <c r="C273">
        <v>299.05956429999998</v>
      </c>
      <c r="D273" s="2">
        <f t="shared" si="25"/>
        <v>-1.0482321542413819E-3</v>
      </c>
      <c r="E273" s="2">
        <f t="shared" ca="1" si="26"/>
        <v>-0.20690180298605299</v>
      </c>
      <c r="F273">
        <f t="shared" ca="1" si="27"/>
        <v>-0.19955677324500212</v>
      </c>
      <c r="G273" s="3">
        <f t="shared" ca="1" si="30"/>
        <v>1.8032603289266187</v>
      </c>
      <c r="H273">
        <f t="shared" ca="1" si="28"/>
        <v>-0.11066442822694783</v>
      </c>
      <c r="I273">
        <f t="shared" ca="1" si="29"/>
        <v>3.2232854190096445</v>
      </c>
    </row>
    <row r="274" spans="1:9" x14ac:dyDescent="0.3">
      <c r="A274" s="1">
        <v>40575</v>
      </c>
      <c r="B274" t="s">
        <v>0</v>
      </c>
      <c r="C274">
        <v>304.37964190000002</v>
      </c>
      <c r="D274" s="2">
        <f t="shared" si="25"/>
        <v>1.7789357823925805E-2</v>
      </c>
      <c r="E274" s="2">
        <f t="shared" ca="1" si="26"/>
        <v>-0.98702031851183625</v>
      </c>
      <c r="F274">
        <f t="shared" ca="1" si="27"/>
        <v>-0.97075643393762667</v>
      </c>
      <c r="G274" s="3">
        <f t="shared" ca="1" si="30"/>
        <v>1.7968604502560674</v>
      </c>
      <c r="H274">
        <f t="shared" ca="1" si="28"/>
        <v>-0.54025143343729665</v>
      </c>
      <c r="I274">
        <f t="shared" ca="1" si="29"/>
        <v>5.9023550263989775E-2</v>
      </c>
    </row>
    <row r="275" spans="1:9" x14ac:dyDescent="0.3">
      <c r="A275" s="1">
        <v>40576</v>
      </c>
      <c r="B275" t="s">
        <v>0</v>
      </c>
      <c r="C275">
        <v>304.85785290000001</v>
      </c>
      <c r="D275" s="2">
        <f t="shared" si="25"/>
        <v>1.5711004751004258E-3</v>
      </c>
      <c r="E275" s="2">
        <f t="shared" ca="1" si="26"/>
        <v>2.424679733692662</v>
      </c>
      <c r="F275">
        <f t="shared" ca="1" si="27"/>
        <v>2.420028292680704</v>
      </c>
      <c r="G275" s="3">
        <f t="shared" ca="1" si="30"/>
        <v>1.7924119902399567</v>
      </c>
      <c r="H275">
        <f t="shared" ca="1" si="28"/>
        <v>1.3501518098842475</v>
      </c>
      <c r="I275">
        <f t="shared" ca="1" si="29"/>
        <v>-1.7675588840516092</v>
      </c>
    </row>
    <row r="276" spans="1:9" x14ac:dyDescent="0.3">
      <c r="A276" s="1">
        <v>40577</v>
      </c>
      <c r="B276" t="s">
        <v>0</v>
      </c>
      <c r="C276">
        <v>303.93628169999999</v>
      </c>
      <c r="D276" s="2">
        <f t="shared" si="25"/>
        <v>-3.0229537839798143E-3</v>
      </c>
      <c r="E276" s="2">
        <f t="shared" ca="1" si="26"/>
        <v>1.9291092256814943</v>
      </c>
      <c r="F276">
        <f t="shared" ca="1" si="27"/>
        <v>1.9175634034447981</v>
      </c>
      <c r="G276" s="3">
        <f t="shared" ca="1" si="30"/>
        <v>1.798282468777463</v>
      </c>
      <c r="H276">
        <f t="shared" ca="1" si="28"/>
        <v>1.0663304774073823</v>
      </c>
      <c r="I276">
        <f t="shared" ca="1" si="29"/>
        <v>-1.3021131240013952</v>
      </c>
    </row>
    <row r="277" spans="1:9" x14ac:dyDescent="0.3">
      <c r="A277" s="1">
        <v>40578</v>
      </c>
      <c r="B277" t="s">
        <v>0</v>
      </c>
      <c r="C277">
        <v>304.34973450000001</v>
      </c>
      <c r="D277" s="2">
        <f t="shared" si="25"/>
        <v>1.3603272294030171E-3</v>
      </c>
      <c r="E277" s="2">
        <f t="shared" ca="1" si="26"/>
        <v>-1.1425896827256614</v>
      </c>
      <c r="F277">
        <f t="shared" ca="1" si="27"/>
        <v>-1.1426666614564891</v>
      </c>
      <c r="G277" s="3">
        <f t="shared" ca="1" si="30"/>
        <v>1.7994696037750464</v>
      </c>
      <c r="H277">
        <f t="shared" ca="1" si="28"/>
        <v>-0.63500192448893134</v>
      </c>
      <c r="I277">
        <f t="shared" ca="1" si="29"/>
        <v>-0.26673083226944544</v>
      </c>
    </row>
    <row r="278" spans="1:9" x14ac:dyDescent="0.3">
      <c r="A278" s="1">
        <v>40581</v>
      </c>
      <c r="B278" t="s">
        <v>0</v>
      </c>
      <c r="C278">
        <v>305.99857170000001</v>
      </c>
      <c r="D278" s="2">
        <f t="shared" si="25"/>
        <v>5.4175739719595599E-3</v>
      </c>
      <c r="E278" s="2">
        <f t="shared" ca="1" si="26"/>
        <v>1.8610826377241236</v>
      </c>
      <c r="F278">
        <f t="shared" ca="1" si="27"/>
        <v>1.8625594184950838</v>
      </c>
      <c r="G278" s="3">
        <f t="shared" ca="1" si="30"/>
        <v>1.7957330945380843</v>
      </c>
      <c r="H278">
        <f t="shared" ca="1" si="28"/>
        <v>1.0372139513161833</v>
      </c>
      <c r="I278">
        <f t="shared" ca="1" si="29"/>
        <v>-1.2439116069921725</v>
      </c>
    </row>
    <row r="279" spans="1:9" x14ac:dyDescent="0.3">
      <c r="A279" s="1">
        <v>40582</v>
      </c>
      <c r="B279" t="s">
        <v>0</v>
      </c>
      <c r="C279">
        <v>308.0359287</v>
      </c>
      <c r="D279" s="2">
        <f t="shared" si="25"/>
        <v>6.6580604892411193E-3</v>
      </c>
      <c r="E279" s="2">
        <f t="shared" ca="1" si="26"/>
        <v>-1.2415355237743915</v>
      </c>
      <c r="F279">
        <f t="shared" ca="1" si="27"/>
        <v>-1.2439979283780607</v>
      </c>
      <c r="G279" s="3">
        <f t="shared" ca="1" si="30"/>
        <v>1.7965511989837719</v>
      </c>
      <c r="H279">
        <f t="shared" ca="1" si="28"/>
        <v>-0.69243666925926428</v>
      </c>
      <c r="I279">
        <f t="shared" ca="1" si="29"/>
        <v>-0.43668930353291535</v>
      </c>
    </row>
    <row r="280" spans="1:9" x14ac:dyDescent="0.3">
      <c r="A280" s="1">
        <v>40583</v>
      </c>
      <c r="B280" t="s">
        <v>0</v>
      </c>
      <c r="C280">
        <v>307.09943390000001</v>
      </c>
      <c r="D280" s="2">
        <f t="shared" si="25"/>
        <v>-3.0402128866988602E-3</v>
      </c>
      <c r="E280" s="2">
        <f t="shared" ca="1" si="26"/>
        <v>-1.0737131972331686</v>
      </c>
      <c r="F280">
        <f t="shared" ca="1" si="27"/>
        <v>-1.0790719061941636</v>
      </c>
      <c r="G280" s="3">
        <f t="shared" ca="1" si="30"/>
        <v>1.7933643669506449</v>
      </c>
      <c r="H280">
        <f t="shared" ca="1" si="28"/>
        <v>-0.6017025463871396</v>
      </c>
      <c r="I280">
        <f t="shared" ca="1" si="29"/>
        <v>-0.15221058906930796</v>
      </c>
    </row>
    <row r="281" spans="1:9" x14ac:dyDescent="0.3">
      <c r="A281" s="1">
        <v>40584</v>
      </c>
      <c r="B281" t="s">
        <v>0</v>
      </c>
      <c r="C281">
        <v>307.06955740000001</v>
      </c>
      <c r="D281" s="2">
        <f t="shared" si="25"/>
        <v>-9.7286079692771144E-5</v>
      </c>
      <c r="E281" s="2">
        <f t="shared" ca="1" si="26"/>
        <v>3.1049318732812905</v>
      </c>
      <c r="F281">
        <f t="shared" ca="1" si="27"/>
        <v>3.1016924074162304</v>
      </c>
      <c r="G281" s="3">
        <f t="shared" ca="1" si="30"/>
        <v>1.7894322249604651</v>
      </c>
      <c r="H281">
        <f t="shared" ca="1" si="28"/>
        <v>1.7333388569576911</v>
      </c>
      <c r="I281">
        <f t="shared" ca="1" si="29"/>
        <v>-2.2638958017786694</v>
      </c>
    </row>
    <row r="282" spans="1:9" x14ac:dyDescent="0.3">
      <c r="A282" s="1">
        <v>40585</v>
      </c>
      <c r="B282" t="s">
        <v>0</v>
      </c>
      <c r="C282">
        <v>311.08451789999998</v>
      </c>
      <c r="D282" s="2">
        <f t="shared" si="25"/>
        <v>1.3075084791847139E-2</v>
      </c>
      <c r="E282" s="2">
        <f t="shared" ca="1" si="26"/>
        <v>-2.5292783225097288</v>
      </c>
      <c r="F282">
        <f t="shared" ca="1" si="27"/>
        <v>-2.5273561846380281</v>
      </c>
      <c r="G282" s="3">
        <f t="shared" ca="1" si="30"/>
        <v>1.8032501448259652</v>
      </c>
      <c r="H282">
        <f t="shared" ca="1" si="28"/>
        <v>-1.4015560691286941</v>
      </c>
      <c r="I282">
        <f t="shared" ca="1" si="29"/>
        <v>-1.8543743044174172</v>
      </c>
    </row>
    <row r="283" spans="1:9" x14ac:dyDescent="0.3">
      <c r="A283" s="1">
        <v>40588</v>
      </c>
      <c r="B283" t="s">
        <v>0</v>
      </c>
      <c r="C283">
        <v>312.90269740000002</v>
      </c>
      <c r="D283" s="2">
        <f t="shared" si="25"/>
        <v>5.8446479827212322E-3</v>
      </c>
      <c r="E283" s="2">
        <f t="shared" ca="1" si="26"/>
        <v>0.75235763695878932</v>
      </c>
      <c r="F283">
        <f t="shared" ca="1" si="27"/>
        <v>0.74851967826203492</v>
      </c>
      <c r="G283" s="3">
        <f t="shared" ca="1" si="30"/>
        <v>1.8098603449438873</v>
      </c>
      <c r="H283">
        <f t="shared" ca="1" si="28"/>
        <v>0.41357869426397204</v>
      </c>
      <c r="I283">
        <f t="shared" ca="1" si="29"/>
        <v>0.57925460124085526</v>
      </c>
    </row>
    <row r="284" spans="1:9" x14ac:dyDescent="0.3">
      <c r="A284" s="1">
        <v>40589</v>
      </c>
      <c r="B284" t="s">
        <v>0</v>
      </c>
      <c r="C284">
        <v>310.91017040000003</v>
      </c>
      <c r="D284" s="2">
        <f t="shared" si="25"/>
        <v>-6.3678805473921596E-3</v>
      </c>
      <c r="E284" s="2">
        <f t="shared" ca="1" si="26"/>
        <v>0.20327589842802959</v>
      </c>
      <c r="F284">
        <f t="shared" ca="1" si="27"/>
        <v>0.1933914142651601</v>
      </c>
      <c r="G284" s="3">
        <f t="shared" ca="1" si="30"/>
        <v>1.8044408256709998</v>
      </c>
      <c r="H284">
        <f t="shared" ca="1" si="28"/>
        <v>0.10717525978899614</v>
      </c>
      <c r="I284">
        <f t="shared" ca="1" si="29"/>
        <v>3.2849939661623995</v>
      </c>
    </row>
    <row r="285" spans="1:9" x14ac:dyDescent="0.3">
      <c r="A285" s="1">
        <v>40590</v>
      </c>
      <c r="B285" t="s">
        <v>0</v>
      </c>
      <c r="C285">
        <v>310.94502169999998</v>
      </c>
      <c r="D285" s="2">
        <f t="shared" si="25"/>
        <v>1.1209443536414163E-4</v>
      </c>
      <c r="E285" s="2">
        <f t="shared" ca="1" si="26"/>
        <v>-1.6254660927099809</v>
      </c>
      <c r="F285">
        <f t="shared" ca="1" si="27"/>
        <v>-1.6272068537992674</v>
      </c>
      <c r="G285" s="3">
        <f t="shared" ca="1" si="30"/>
        <v>1.7980219632983019</v>
      </c>
      <c r="H285">
        <f t="shared" ca="1" si="28"/>
        <v>-0.90499831871592373</v>
      </c>
      <c r="I285">
        <f t="shared" ca="1" si="29"/>
        <v>-0.97372992139247994</v>
      </c>
    </row>
    <row r="286" spans="1:9" x14ac:dyDescent="0.3">
      <c r="A286" s="1">
        <v>40591</v>
      </c>
      <c r="B286" t="s">
        <v>0</v>
      </c>
      <c r="C286">
        <v>311.4630889</v>
      </c>
      <c r="D286" s="2">
        <f t="shared" si="25"/>
        <v>1.666105465100034E-3</v>
      </c>
      <c r="E286" s="2">
        <f t="shared" ca="1" si="26"/>
        <v>0.54589323150950075</v>
      </c>
      <c r="F286">
        <f t="shared" ca="1" si="27"/>
        <v>0.54982506701108136</v>
      </c>
      <c r="G286" s="3">
        <f t="shared" ca="1" si="30"/>
        <v>1.797087528926103</v>
      </c>
      <c r="H286">
        <f t="shared" ca="1" si="28"/>
        <v>0.30595341526833908</v>
      </c>
      <c r="I286">
        <f t="shared" ca="1" si="29"/>
        <v>1.1963010402609191</v>
      </c>
    </row>
    <row r="287" spans="1:9" x14ac:dyDescent="0.3">
      <c r="A287" s="1">
        <v>40592</v>
      </c>
      <c r="B287" t="s">
        <v>0</v>
      </c>
      <c r="C287">
        <v>313.86409429999998</v>
      </c>
      <c r="D287" s="2">
        <f t="shared" si="25"/>
        <v>7.7087959555003759E-3</v>
      </c>
      <c r="E287" s="2">
        <f t="shared" ca="1" si="26"/>
        <v>3.4184168081661528</v>
      </c>
      <c r="F287">
        <f t="shared" ca="1" si="27"/>
        <v>3.4178502322613995</v>
      </c>
      <c r="G287" s="3">
        <f t="shared" ca="1" si="30"/>
        <v>1.7913064166618538</v>
      </c>
      <c r="H287">
        <f t="shared" ca="1" si="28"/>
        <v>1.9080209842773035</v>
      </c>
      <c r="I287">
        <f t="shared" ca="1" si="29"/>
        <v>-2.4580286198076986</v>
      </c>
    </row>
    <row r="288" spans="1:9" x14ac:dyDescent="0.3">
      <c r="A288" s="1">
        <v>40596</v>
      </c>
      <c r="B288" t="s">
        <v>0</v>
      </c>
      <c r="C288">
        <v>303.96618910000001</v>
      </c>
      <c r="D288" s="2">
        <f t="shared" si="25"/>
        <v>-3.1535640360758427E-2</v>
      </c>
      <c r="E288" s="2">
        <f t="shared" ca="1" si="26"/>
        <v>0.4258247717079674</v>
      </c>
      <c r="F288">
        <f t="shared" ca="1" si="27"/>
        <v>0.42248879679455559</v>
      </c>
      <c r="G288" s="3">
        <f t="shared" ca="1" si="30"/>
        <v>1.8093117536900503</v>
      </c>
      <c r="H288">
        <f t="shared" ca="1" si="28"/>
        <v>0.2335080153726406</v>
      </c>
      <c r="I288">
        <f t="shared" ca="1" si="29"/>
        <v>1.7176131880026824</v>
      </c>
    </row>
    <row r="289" spans="1:9" x14ac:dyDescent="0.3">
      <c r="A289" s="1">
        <v>40597</v>
      </c>
      <c r="B289" t="s">
        <v>0</v>
      </c>
      <c r="C289">
        <v>304.51910709999999</v>
      </c>
      <c r="D289" s="2">
        <f t="shared" si="25"/>
        <v>1.8190115211072892E-3</v>
      </c>
      <c r="E289" s="2">
        <f t="shared" ca="1" si="26"/>
        <v>-2.0882779967922414</v>
      </c>
      <c r="F289">
        <f t="shared" ca="1" si="27"/>
        <v>-2.0836754004755789</v>
      </c>
      <c r="G289" s="3">
        <f t="shared" ca="1" si="30"/>
        <v>1.8031225034303</v>
      </c>
      <c r="H289">
        <f t="shared" ca="1" si="28"/>
        <v>-1.1555928099791051</v>
      </c>
      <c r="I289">
        <f t="shared" ca="1" si="29"/>
        <v>-1.468267469758729</v>
      </c>
    </row>
    <row r="290" spans="1:9" x14ac:dyDescent="0.3">
      <c r="A290" s="1">
        <v>40598</v>
      </c>
      <c r="B290" t="s">
        <v>0</v>
      </c>
      <c r="C290">
        <v>303.27377439999998</v>
      </c>
      <c r="D290" s="2">
        <f t="shared" si="25"/>
        <v>-4.0895059487714028E-3</v>
      </c>
      <c r="E290" s="2">
        <f t="shared" ca="1" si="26"/>
        <v>1.4683537514009077</v>
      </c>
      <c r="F290">
        <f t="shared" ca="1" si="27"/>
        <v>1.48744852414221</v>
      </c>
      <c r="G290" s="3">
        <f t="shared" ca="1" si="30"/>
        <v>1.805553291163424</v>
      </c>
      <c r="H290">
        <f t="shared" ca="1" si="28"/>
        <v>0.82381867731179481</v>
      </c>
      <c r="I290">
        <f t="shared" ca="1" si="29"/>
        <v>-0.79413206332640252</v>
      </c>
    </row>
    <row r="291" spans="1:9" x14ac:dyDescent="0.3">
      <c r="A291" s="1">
        <v>40599</v>
      </c>
      <c r="B291" t="s">
        <v>0</v>
      </c>
      <c r="C291">
        <v>303.88150250000001</v>
      </c>
      <c r="D291" s="2">
        <f t="shared" si="25"/>
        <v>2.0038926913557458E-3</v>
      </c>
      <c r="E291" s="2">
        <f t="shared" ca="1" si="26"/>
        <v>2.4009171070175332</v>
      </c>
      <c r="F291">
        <f t="shared" ca="1" si="27"/>
        <v>2.4010037638931254</v>
      </c>
      <c r="G291" s="3">
        <f t="shared" ca="1" si="30"/>
        <v>1.8035728206300399</v>
      </c>
      <c r="H291">
        <f t="shared" ca="1" si="28"/>
        <v>1.3312485841599597</v>
      </c>
      <c r="I291">
        <f t="shared" ca="1" si="29"/>
        <v>-1.7517744663145698</v>
      </c>
    </row>
    <row r="292" spans="1:9" x14ac:dyDescent="0.3">
      <c r="A292" s="1">
        <v>40602</v>
      </c>
      <c r="B292" t="s">
        <v>0</v>
      </c>
      <c r="C292">
        <v>305.5552419</v>
      </c>
      <c r="D292" s="2">
        <f t="shared" si="25"/>
        <v>5.5078686469242667E-3</v>
      </c>
      <c r="E292" s="2">
        <f t="shared" ca="1" si="26"/>
        <v>0.84504640084957217</v>
      </c>
      <c r="F292">
        <f t="shared" ca="1" si="27"/>
        <v>0.84699543115199361</v>
      </c>
      <c r="G292" s="3">
        <f t="shared" ca="1" si="30"/>
        <v>1.8089007990952994</v>
      </c>
      <c r="H292">
        <f t="shared" ca="1" si="28"/>
        <v>0.46823763446597427</v>
      </c>
      <c r="I292">
        <f t="shared" ca="1" si="29"/>
        <v>0.33207767017754541</v>
      </c>
    </row>
    <row r="293" spans="1:9" x14ac:dyDescent="0.3">
      <c r="A293" s="1">
        <v>40603</v>
      </c>
      <c r="B293" t="s">
        <v>0</v>
      </c>
      <c r="C293">
        <v>299.25881399999997</v>
      </c>
      <c r="D293" s="2">
        <f t="shared" si="25"/>
        <v>-2.0606512461863367E-2</v>
      </c>
      <c r="E293" s="2">
        <f t="shared" ca="1" si="26"/>
        <v>-0.55504155727745097</v>
      </c>
      <c r="F293">
        <f t="shared" ca="1" si="27"/>
        <v>-0.55793163072058072</v>
      </c>
      <c r="G293" s="3">
        <f t="shared" ca="1" si="30"/>
        <v>1.803814285735704</v>
      </c>
      <c r="H293">
        <f t="shared" ca="1" si="28"/>
        <v>-0.30930658168782749</v>
      </c>
      <c r="I293">
        <f t="shared" ca="1" si="29"/>
        <v>1.1656735968323992</v>
      </c>
    </row>
    <row r="294" spans="1:9" x14ac:dyDescent="0.3">
      <c r="A294" s="1">
        <v>40604</v>
      </c>
      <c r="B294" t="s">
        <v>0</v>
      </c>
      <c r="C294">
        <v>299.2737674</v>
      </c>
      <c r="D294" s="2">
        <f t="shared" si="25"/>
        <v>4.9968118900666473E-5</v>
      </c>
      <c r="E294" s="2">
        <f t="shared" ca="1" si="26"/>
        <v>-4.7495614228562193</v>
      </c>
      <c r="F294">
        <f t="shared" ca="1" si="27"/>
        <v>-4.7468470046075062</v>
      </c>
      <c r="G294" s="3">
        <f t="shared" ca="1" si="30"/>
        <v>1.7979656186148321</v>
      </c>
      <c r="H294">
        <f t="shared" ca="1" si="28"/>
        <v>-2.6401211210392983</v>
      </c>
      <c r="I294">
        <f t="shared" ca="1" si="29"/>
        <v>-3.1149612183862847</v>
      </c>
    </row>
    <row r="295" spans="1:9" x14ac:dyDescent="0.3">
      <c r="A295" s="1">
        <v>40605</v>
      </c>
      <c r="B295" t="s">
        <v>0</v>
      </c>
      <c r="C295">
        <v>303.64239679999997</v>
      </c>
      <c r="D295" s="2">
        <f t="shared" si="25"/>
        <v>1.4597435110846187E-2</v>
      </c>
      <c r="E295" s="2">
        <f t="shared" ca="1" si="26"/>
        <v>1.2974331855814352</v>
      </c>
      <c r="F295">
        <f t="shared" ca="1" si="27"/>
        <v>1.3102498940766116</v>
      </c>
      <c r="G295" s="3">
        <f t="shared" ca="1" si="30"/>
        <v>1.8377109642140286</v>
      </c>
      <c r="H295">
        <f t="shared" ca="1" si="28"/>
        <v>0.71297930936434994</v>
      </c>
      <c r="I295">
        <f t="shared" ca="1" si="29"/>
        <v>-0.54055987659437876</v>
      </c>
    </row>
    <row r="296" spans="1:9" x14ac:dyDescent="0.3">
      <c r="A296" s="1">
        <v>40606</v>
      </c>
      <c r="B296" t="s">
        <v>0</v>
      </c>
      <c r="C296">
        <v>299.18908140000002</v>
      </c>
      <c r="D296" s="2">
        <f t="shared" si="25"/>
        <v>-1.4666316189478688E-2</v>
      </c>
      <c r="E296" s="2">
        <f t="shared" ca="1" si="26"/>
        <v>0.39554464156157843</v>
      </c>
      <c r="F296">
        <f t="shared" ca="1" si="27"/>
        <v>0.39116107590808558</v>
      </c>
      <c r="G296" s="3">
        <f t="shared" ca="1" si="30"/>
        <v>1.8341614857499917</v>
      </c>
      <c r="H296">
        <f t="shared" ca="1" si="28"/>
        <v>0.21326425123801962</v>
      </c>
      <c r="I296">
        <f t="shared" ca="1" si="29"/>
        <v>1.8758658663892027</v>
      </c>
    </row>
    <row r="297" spans="1:9" x14ac:dyDescent="0.3">
      <c r="A297" s="1">
        <v>40609</v>
      </c>
      <c r="B297" t="s">
        <v>0</v>
      </c>
      <c r="C297">
        <v>294.72581680000002</v>
      </c>
      <c r="D297" s="2">
        <f t="shared" si="25"/>
        <v>-1.4917872601215861E-2</v>
      </c>
      <c r="E297" s="2">
        <f t="shared" ca="1" si="26"/>
        <v>0.85581078478924832</v>
      </c>
      <c r="F297">
        <f t="shared" ca="1" si="27"/>
        <v>0.85109399877867919</v>
      </c>
      <c r="G297" s="3">
        <f t="shared" ca="1" si="30"/>
        <v>1.8276182858591461</v>
      </c>
      <c r="H297">
        <f t="shared" ca="1" si="28"/>
        <v>0.46568476873089937</v>
      </c>
      <c r="I297">
        <f t="shared" ca="1" si="29"/>
        <v>0.32215817277779313</v>
      </c>
    </row>
    <row r="298" spans="1:9" x14ac:dyDescent="0.3">
      <c r="A298" s="1">
        <v>40610</v>
      </c>
      <c r="B298" t="s">
        <v>0</v>
      </c>
      <c r="C298">
        <v>295.04957819999998</v>
      </c>
      <c r="D298" s="2">
        <f t="shared" si="25"/>
        <v>1.0985172711207383E-3</v>
      </c>
      <c r="E298" s="2">
        <f t="shared" ca="1" si="26"/>
        <v>1.7005209350702921</v>
      </c>
      <c r="F298">
        <f t="shared" ca="1" si="27"/>
        <v>1.71410159578543</v>
      </c>
      <c r="G298" s="3">
        <f t="shared" ca="1" si="30"/>
        <v>1.8222828038180514</v>
      </c>
      <c r="H298">
        <f t="shared" ca="1" si="28"/>
        <v>0.94063423755853925</v>
      </c>
      <c r="I298">
        <f t="shared" ca="1" si="29"/>
        <v>-1.0777785957273525</v>
      </c>
    </row>
    <row r="299" spans="1:9" x14ac:dyDescent="0.3">
      <c r="A299" s="1">
        <v>40611</v>
      </c>
      <c r="B299" t="s">
        <v>0</v>
      </c>
      <c r="C299">
        <v>294.780596</v>
      </c>
      <c r="D299" s="2">
        <f t="shared" si="25"/>
        <v>-9.1165085420882061E-4</v>
      </c>
      <c r="E299" s="2">
        <f t="shared" ca="1" si="26"/>
        <v>-2.1179450658295793</v>
      </c>
      <c r="F299">
        <f t="shared" ca="1" si="27"/>
        <v>-2.1089832957100203</v>
      </c>
      <c r="G299" s="3">
        <f t="shared" ca="1" si="30"/>
        <v>1.8214262158405643</v>
      </c>
      <c r="H299">
        <f t="shared" ca="1" si="28"/>
        <v>-1.1578746793960863</v>
      </c>
      <c r="I299">
        <f t="shared" ca="1" si="29"/>
        <v>-1.4924121488303774</v>
      </c>
    </row>
    <row r="300" spans="1:9" x14ac:dyDescent="0.3">
      <c r="A300" s="1">
        <v>40612</v>
      </c>
      <c r="B300" t="s">
        <v>0</v>
      </c>
      <c r="C300">
        <v>289.0669934</v>
      </c>
      <c r="D300" s="2">
        <f t="shared" si="25"/>
        <v>-1.9382560037974825E-2</v>
      </c>
      <c r="E300" s="2">
        <f t="shared" ca="1" si="26"/>
        <v>-0.38620565383395333</v>
      </c>
      <c r="F300">
        <f t="shared" ca="1" si="27"/>
        <v>-0.38661787413247822</v>
      </c>
      <c r="G300" s="3">
        <f t="shared" ca="1" si="30"/>
        <v>1.8235893397450766</v>
      </c>
      <c r="H300">
        <f t="shared" ca="1" si="28"/>
        <v>-0.21200928614033482</v>
      </c>
      <c r="I300">
        <f t="shared" ca="1" si="29"/>
        <v>1.8981235766738178</v>
      </c>
    </row>
    <row r="301" spans="1:9" x14ac:dyDescent="0.3">
      <c r="A301" s="1">
        <v>40613</v>
      </c>
      <c r="B301" t="s">
        <v>0</v>
      </c>
      <c r="C301">
        <v>287.27869090000002</v>
      </c>
      <c r="D301" s="2">
        <f t="shared" si="25"/>
        <v>-6.1864638330582445E-3</v>
      </c>
      <c r="E301" s="2">
        <f t="shared" ca="1" si="26"/>
        <v>1.3444721488892792</v>
      </c>
      <c r="F301">
        <f t="shared" ca="1" si="27"/>
        <v>1.3508190404185529</v>
      </c>
      <c r="G301" s="3">
        <f t="shared" ca="1" si="30"/>
        <v>1.8171672065106166</v>
      </c>
      <c r="H301">
        <f t="shared" ca="1" si="28"/>
        <v>0.74336529713874788</v>
      </c>
      <c r="I301">
        <f t="shared" ca="1" si="29"/>
        <v>-0.60144318463273783</v>
      </c>
    </row>
    <row r="302" spans="1:9" x14ac:dyDescent="0.3">
      <c r="A302" s="1">
        <v>40616</v>
      </c>
      <c r="B302" t="s">
        <v>0</v>
      </c>
      <c r="C302">
        <v>283.9312425</v>
      </c>
      <c r="D302" s="2">
        <f t="shared" si="25"/>
        <v>-1.1652268358342129E-2</v>
      </c>
      <c r="E302" s="2">
        <f t="shared" ca="1" si="26"/>
        <v>0.42651509483898314</v>
      </c>
      <c r="F302">
        <f t="shared" ca="1" si="27"/>
        <v>0.44042914068212208</v>
      </c>
      <c r="G302" s="3">
        <f t="shared" ca="1" si="30"/>
        <v>1.8141871369364067</v>
      </c>
      <c r="H302">
        <f t="shared" ca="1" si="28"/>
        <v>0.24276940989994494</v>
      </c>
      <c r="I302">
        <f t="shared" ca="1" si="29"/>
        <v>1.6393114623303229</v>
      </c>
    </row>
    <row r="303" spans="1:9" x14ac:dyDescent="0.3">
      <c r="A303" s="1">
        <v>40617</v>
      </c>
      <c r="B303" t="s">
        <v>0</v>
      </c>
      <c r="C303">
        <v>283.71703939999998</v>
      </c>
      <c r="D303" s="2">
        <f t="shared" si="25"/>
        <v>-7.5441891534715557E-4</v>
      </c>
      <c r="E303" s="2">
        <f t="shared" ca="1" si="26"/>
        <v>0.45863473015218875</v>
      </c>
      <c r="F303">
        <f t="shared" ca="1" si="27"/>
        <v>0.46596132448012978</v>
      </c>
      <c r="G303" s="3">
        <f t="shared" ca="1" si="30"/>
        <v>1.8079692121328976</v>
      </c>
      <c r="H303">
        <f t="shared" ca="1" si="28"/>
        <v>0.2577263602461603</v>
      </c>
      <c r="I303">
        <f t="shared" ca="1" si="29"/>
        <v>1.5273026646048278</v>
      </c>
    </row>
    <row r="304" spans="1:9" x14ac:dyDescent="0.3">
      <c r="A304" s="1">
        <v>40618</v>
      </c>
      <c r="B304" t="s">
        <v>0</v>
      </c>
      <c r="C304">
        <v>277.51030229999998</v>
      </c>
      <c r="D304" s="2">
        <f t="shared" si="25"/>
        <v>-2.1876504538204337E-2</v>
      </c>
      <c r="E304" s="2">
        <f t="shared" ca="1" si="26"/>
        <v>-0.3209435589303567</v>
      </c>
      <c r="F304">
        <f t="shared" ca="1" si="27"/>
        <v>-0.31346278825450286</v>
      </c>
      <c r="G304" s="3">
        <f t="shared" ca="1" si="30"/>
        <v>1.8018753062650505</v>
      </c>
      <c r="H304">
        <f t="shared" ca="1" si="28"/>
        <v>-0.17396475059323188</v>
      </c>
      <c r="I304">
        <f t="shared" ca="1" si="29"/>
        <v>2.3152786315692104</v>
      </c>
    </row>
    <row r="305" spans="1:9" x14ac:dyDescent="0.3">
      <c r="A305" s="1">
        <v>40619</v>
      </c>
      <c r="B305" t="s">
        <v>0</v>
      </c>
      <c r="C305">
        <v>279.6323458</v>
      </c>
      <c r="D305" s="2">
        <f t="shared" si="25"/>
        <v>7.64671971603419E-3</v>
      </c>
      <c r="E305" s="2">
        <f t="shared" ca="1" si="26"/>
        <v>1.2814030669533421</v>
      </c>
      <c r="F305">
        <f t="shared" ca="1" si="27"/>
        <v>1.2883956587341532</v>
      </c>
      <c r="G305" s="3">
        <f t="shared" ca="1" si="30"/>
        <v>1.795612345380396</v>
      </c>
      <c r="H305">
        <f t="shared" ca="1" si="28"/>
        <v>0.71752439330729245</v>
      </c>
      <c r="I305">
        <f t="shared" ca="1" si="29"/>
        <v>-0.50683076300310692</v>
      </c>
    </row>
    <row r="306" spans="1:9" x14ac:dyDescent="0.3">
      <c r="A306" s="1">
        <v>40620</v>
      </c>
      <c r="B306" t="s">
        <v>0</v>
      </c>
      <c r="C306">
        <v>279.48290100000003</v>
      </c>
      <c r="D306" s="2">
        <f t="shared" si="25"/>
        <v>-5.3443316642222763E-4</v>
      </c>
      <c r="E306" s="2">
        <f t="shared" ca="1" si="26"/>
        <v>1.8221295672415059</v>
      </c>
      <c r="F306">
        <f t="shared" ca="1" si="27"/>
        <v>1.8334720068219605</v>
      </c>
      <c r="G306" s="3">
        <f t="shared" ca="1" si="30"/>
        <v>1.7926753893013032</v>
      </c>
      <c r="H306">
        <f t="shared" ca="1" si="28"/>
        <v>1.0227573925341598</v>
      </c>
      <c r="I306">
        <f t="shared" ca="1" si="29"/>
        <v>-1.2124229665535518</v>
      </c>
    </row>
    <row r="307" spans="1:9" x14ac:dyDescent="0.3">
      <c r="A307" s="1">
        <v>40623</v>
      </c>
      <c r="B307" t="s">
        <v>0</v>
      </c>
      <c r="C307">
        <v>287.17410690000003</v>
      </c>
      <c r="D307" s="2">
        <f t="shared" si="25"/>
        <v>2.7519414863952624E-2</v>
      </c>
      <c r="E307" s="2">
        <f t="shared" ca="1" si="26"/>
        <v>-0.45159054568890478</v>
      </c>
      <c r="F307">
        <f t="shared" ca="1" si="27"/>
        <v>-0.45619278330389224</v>
      </c>
      <c r="G307" s="3">
        <f t="shared" ca="1" si="30"/>
        <v>1.7933420821940862</v>
      </c>
      <c r="H307">
        <f t="shared" ca="1" si="28"/>
        <v>-0.25438135190903322</v>
      </c>
      <c r="I307">
        <f t="shared" ca="1" si="29"/>
        <v>1.5660405808874243</v>
      </c>
    </row>
    <row r="308" spans="1:9" x14ac:dyDescent="0.3">
      <c r="A308" s="1">
        <v>40624</v>
      </c>
      <c r="B308" t="s">
        <v>0</v>
      </c>
      <c r="C308">
        <v>287.58255500000001</v>
      </c>
      <c r="D308" s="2">
        <f t="shared" si="25"/>
        <v>1.4223012806033274E-3</v>
      </c>
      <c r="E308" s="2">
        <f t="shared" ca="1" si="26"/>
        <v>1.5954803809539266</v>
      </c>
      <c r="F308">
        <f t="shared" ca="1" si="27"/>
        <v>1.5876078322649585</v>
      </c>
      <c r="G308" s="3">
        <f t="shared" ca="1" si="30"/>
        <v>1.7874120620070193</v>
      </c>
      <c r="H308">
        <f t="shared" ca="1" si="28"/>
        <v>0.88821591059550753</v>
      </c>
      <c r="I308">
        <f t="shared" ca="1" si="29"/>
        <v>-0.92445755322362766</v>
      </c>
    </row>
    <row r="309" spans="1:9" x14ac:dyDescent="0.3">
      <c r="A309" s="1">
        <v>40625</v>
      </c>
      <c r="B309" t="s">
        <v>0</v>
      </c>
      <c r="C309">
        <v>289.993539</v>
      </c>
      <c r="D309" s="2">
        <f t="shared" si="25"/>
        <v>8.3836239649515074E-3</v>
      </c>
      <c r="E309" s="2">
        <f t="shared" ca="1" si="26"/>
        <v>0.2363041646180461</v>
      </c>
      <c r="F309">
        <f t="shared" ca="1" si="27"/>
        <v>0.21874383477135853</v>
      </c>
      <c r="G309" s="3">
        <f t="shared" ca="1" si="30"/>
        <v>1.7864323792000836</v>
      </c>
      <c r="H309">
        <f t="shared" ca="1" si="28"/>
        <v>0.12244730744821483</v>
      </c>
      <c r="I309">
        <f t="shared" ca="1" si="29"/>
        <v>3.038238977078112</v>
      </c>
    </row>
    <row r="310" spans="1:9" x14ac:dyDescent="0.3">
      <c r="A310" s="1">
        <v>40626</v>
      </c>
      <c r="B310" t="s">
        <v>0</v>
      </c>
      <c r="C310">
        <v>292.34971400000001</v>
      </c>
      <c r="D310" s="2">
        <f t="shared" si="25"/>
        <v>8.1249223969779797E-3</v>
      </c>
      <c r="E310" s="2">
        <f t="shared" ca="1" si="26"/>
        <v>-0.30546595331422394</v>
      </c>
      <c r="F310">
        <f t="shared" ca="1" si="27"/>
        <v>-0.30885132255780112</v>
      </c>
      <c r="G310" s="3">
        <f t="shared" ca="1" si="30"/>
        <v>1.7802499240291625</v>
      </c>
      <c r="H310">
        <f t="shared" ca="1" si="28"/>
        <v>-0.17348762013076868</v>
      </c>
      <c r="I310">
        <f t="shared" ca="1" si="29"/>
        <v>2.3490984960467682</v>
      </c>
    </row>
    <row r="311" spans="1:9" x14ac:dyDescent="0.3">
      <c r="A311" s="1">
        <v>40627</v>
      </c>
      <c r="B311" t="s">
        <v>0</v>
      </c>
      <c r="C311">
        <v>288.7880624</v>
      </c>
      <c r="D311" s="2">
        <f t="shared" si="25"/>
        <v>-1.2182846192214864E-2</v>
      </c>
      <c r="E311" s="2">
        <f t="shared" ca="1" si="26"/>
        <v>0.30132728006491877</v>
      </c>
      <c r="F311">
        <f t="shared" ca="1" si="27"/>
        <v>0.29368425404107895</v>
      </c>
      <c r="G311" s="3">
        <f t="shared" ca="1" si="30"/>
        <v>1.7742432490152096</v>
      </c>
      <c r="H311">
        <f t="shared" ca="1" si="28"/>
        <v>0.16552648809800338</v>
      </c>
      <c r="I311">
        <f t="shared" ca="1" si="29"/>
        <v>2.4487792862257507</v>
      </c>
    </row>
    <row r="312" spans="1:9" x14ac:dyDescent="0.3">
      <c r="A312" s="1">
        <v>40630</v>
      </c>
      <c r="B312" t="s">
        <v>0</v>
      </c>
      <c r="C312">
        <v>286.60623500000003</v>
      </c>
      <c r="D312" s="2">
        <f t="shared" si="25"/>
        <v>-7.5551163087133706E-3</v>
      </c>
      <c r="E312" s="2">
        <f t="shared" ca="1" si="26"/>
        <v>-1.3852413268082875</v>
      </c>
      <c r="F312">
        <f t="shared" ca="1" si="27"/>
        <v>-1.3866681854518825</v>
      </c>
      <c r="G312" s="3">
        <f t="shared" ca="1" si="30"/>
        <v>1.76829011757789</v>
      </c>
      <c r="H312">
        <f t="shared" ca="1" si="28"/>
        <v>-0.78418590460216286</v>
      </c>
      <c r="I312">
        <f t="shared" ca="1" si="29"/>
        <v>-0.65383744677496158</v>
      </c>
    </row>
    <row r="313" spans="1:9" x14ac:dyDescent="0.3">
      <c r="A313" s="1">
        <v>40631</v>
      </c>
      <c r="B313" t="s">
        <v>0</v>
      </c>
      <c r="C313">
        <v>289.77933589999998</v>
      </c>
      <c r="D313" s="2">
        <f t="shared" si="25"/>
        <v>1.1071290546069075E-2</v>
      </c>
      <c r="E313" s="2">
        <f t="shared" ca="1" si="26"/>
        <v>-1.7736260586712362</v>
      </c>
      <c r="F313">
        <f t="shared" ca="1" si="27"/>
        <v>-1.7637871659959465</v>
      </c>
      <c r="G313" s="3">
        <f t="shared" ca="1" si="30"/>
        <v>1.7664105239636236</v>
      </c>
      <c r="H313">
        <f t="shared" ca="1" si="28"/>
        <v>-0.99851486507123466</v>
      </c>
      <c r="I313">
        <f t="shared" ca="1" si="29"/>
        <v>-1.1349659929343343</v>
      </c>
    </row>
    <row r="314" spans="1:9" x14ac:dyDescent="0.3">
      <c r="A314" s="1">
        <v>40632</v>
      </c>
      <c r="B314" t="s">
        <v>0</v>
      </c>
      <c r="C314">
        <v>289.83411510000002</v>
      </c>
      <c r="D314" s="2">
        <f t="shared" si="25"/>
        <v>1.8903763385994196E-4</v>
      </c>
      <c r="E314" s="2">
        <f t="shared" ca="1" si="26"/>
        <v>-0.54247849982637486</v>
      </c>
      <c r="F314">
        <f t="shared" ca="1" si="27"/>
        <v>-0.54107503007333901</v>
      </c>
      <c r="G314" s="3">
        <f t="shared" ca="1" si="30"/>
        <v>1.7671582018106218</v>
      </c>
      <c r="H314">
        <f t="shared" ca="1" si="28"/>
        <v>-0.30618369624120589</v>
      </c>
      <c r="I314">
        <f t="shared" ca="1" si="29"/>
        <v>1.2283945219393442</v>
      </c>
    </row>
    <row r="315" spans="1:9" x14ac:dyDescent="0.3">
      <c r="A315" s="1">
        <v>40633</v>
      </c>
      <c r="B315" t="s">
        <v>0</v>
      </c>
      <c r="C315">
        <v>292.28495570000001</v>
      </c>
      <c r="D315" s="2">
        <f t="shared" si="25"/>
        <v>8.4560114641935476E-3</v>
      </c>
      <c r="E315" s="2">
        <f t="shared" ca="1" si="26"/>
        <v>-0.56852372425391551</v>
      </c>
      <c r="F315">
        <f t="shared" ca="1" si="27"/>
        <v>-0.57547414480574433</v>
      </c>
      <c r="G315" s="3">
        <f t="shared" ca="1" si="30"/>
        <v>1.7617427067393536</v>
      </c>
      <c r="H315">
        <f t="shared" ca="1" si="28"/>
        <v>-0.32665050498255566</v>
      </c>
      <c r="I315">
        <f t="shared" ca="1" si="29"/>
        <v>1.1049060432872577</v>
      </c>
    </row>
    <row r="316" spans="1:9" x14ac:dyDescent="0.3">
      <c r="A316" s="1">
        <v>40634</v>
      </c>
      <c r="B316" t="s">
        <v>0</v>
      </c>
      <c r="C316">
        <v>294.79554940000003</v>
      </c>
      <c r="D316" s="2">
        <f t="shared" si="25"/>
        <v>8.5895413056321576E-3</v>
      </c>
      <c r="E316" s="2">
        <f t="shared" ca="1" si="26"/>
        <v>-1.0828951501809163</v>
      </c>
      <c r="F316">
        <f t="shared" ca="1" si="27"/>
        <v>-1.0855341536748606</v>
      </c>
      <c r="G316" s="3">
        <f t="shared" ca="1" si="30"/>
        <v>1.7564823087613735</v>
      </c>
      <c r="H316">
        <f t="shared" ca="1" si="28"/>
        <v>-0.61801599040320054</v>
      </c>
      <c r="I316">
        <f t="shared" ca="1" si="29"/>
        <v>-0.16420695810108812</v>
      </c>
    </row>
    <row r="317" spans="1:9" x14ac:dyDescent="0.3">
      <c r="A317" s="1">
        <v>40637</v>
      </c>
      <c r="B317" t="s">
        <v>0</v>
      </c>
      <c r="C317">
        <v>292.74323900000002</v>
      </c>
      <c r="D317" s="2">
        <f t="shared" si="25"/>
        <v>-6.9618093087805959E-3</v>
      </c>
      <c r="E317" s="2">
        <f t="shared" ca="1" si="26"/>
        <v>0.52160817954083416</v>
      </c>
      <c r="F317">
        <f t="shared" ca="1" si="27"/>
        <v>0.51378154475866966</v>
      </c>
      <c r="G317" s="3">
        <f t="shared" ca="1" si="30"/>
        <v>1.75317478160262</v>
      </c>
      <c r="H317">
        <f t="shared" ca="1" si="28"/>
        <v>0.29305780014073063</v>
      </c>
      <c r="I317">
        <f t="shared" ca="1" si="29"/>
        <v>1.331730621973686</v>
      </c>
    </row>
    <row r="318" spans="1:9" x14ac:dyDescent="0.3">
      <c r="A318" s="1">
        <v>40638</v>
      </c>
      <c r="B318" t="s">
        <v>0</v>
      </c>
      <c r="C318">
        <v>283.48293840000002</v>
      </c>
      <c r="D318" s="2">
        <f t="shared" si="25"/>
        <v>-3.1632841911679449E-2</v>
      </c>
      <c r="E318" s="2">
        <f t="shared" ca="1" si="26"/>
        <v>0.59863984176049201</v>
      </c>
      <c r="F318">
        <f t="shared" ca="1" si="27"/>
        <v>0.59536693369425753</v>
      </c>
      <c r="G318" s="3">
        <f t="shared" ca="1" si="30"/>
        <v>1.7478771518760223</v>
      </c>
      <c r="H318">
        <f t="shared" ca="1" si="28"/>
        <v>0.34062287103830002</v>
      </c>
      <c r="I318">
        <f t="shared" ca="1" si="29"/>
        <v>1.0343317616645029</v>
      </c>
    </row>
    <row r="319" spans="1:9" x14ac:dyDescent="0.3">
      <c r="A319" s="1">
        <v>40639</v>
      </c>
      <c r="B319" t="s">
        <v>0</v>
      </c>
      <c r="C319">
        <v>286.0184347</v>
      </c>
      <c r="D319" s="2">
        <f t="shared" si="25"/>
        <v>8.9440878322713784E-3</v>
      </c>
      <c r="E319" s="2">
        <f t="shared" ca="1" si="26"/>
        <v>1.0018347965396721</v>
      </c>
      <c r="F319">
        <f t="shared" ca="1" si="27"/>
        <v>1.0156017124510914</v>
      </c>
      <c r="G319" s="3">
        <f t="shared" ca="1" si="30"/>
        <v>1.7428526335603769</v>
      </c>
      <c r="H319">
        <f t="shared" ca="1" si="28"/>
        <v>0.58272380171143623</v>
      </c>
      <c r="I319">
        <f t="shared" ca="1" si="29"/>
        <v>-3.1040071749106238E-2</v>
      </c>
    </row>
    <row r="320" spans="1:9" x14ac:dyDescent="0.3">
      <c r="A320" s="1">
        <v>40640</v>
      </c>
      <c r="B320" t="s">
        <v>0</v>
      </c>
      <c r="C320">
        <v>288.91754859999998</v>
      </c>
      <c r="D320" s="2">
        <f t="shared" si="25"/>
        <v>1.0136108545034194E-2</v>
      </c>
      <c r="E320" s="2">
        <f t="shared" ca="1" si="26"/>
        <v>1.4674855817490156</v>
      </c>
      <c r="F320">
        <f t="shared" ca="1" si="27"/>
        <v>1.4845164300577514</v>
      </c>
      <c r="G320" s="3">
        <f t="shared" ca="1" si="30"/>
        <v>1.7394359786827802</v>
      </c>
      <c r="H320">
        <f t="shared" ca="1" si="28"/>
        <v>0.85344700710510113</v>
      </c>
      <c r="I320">
        <f t="shared" ca="1" si="29"/>
        <v>-0.79022478582129896</v>
      </c>
    </row>
    <row r="321" spans="1:9" x14ac:dyDescent="0.3">
      <c r="A321" s="1">
        <v>40641</v>
      </c>
      <c r="B321" t="s">
        <v>0</v>
      </c>
      <c r="C321">
        <v>288.00098209999999</v>
      </c>
      <c r="D321" s="2">
        <f t="shared" si="25"/>
        <v>-3.1724154674624971E-3</v>
      </c>
      <c r="E321" s="2">
        <f t="shared" ca="1" si="26"/>
        <v>-3.5658659014461449</v>
      </c>
      <c r="F321">
        <f t="shared" ca="1" si="27"/>
        <v>-3.5744575926732338</v>
      </c>
      <c r="G321" s="3">
        <f t="shared" ca="1" si="30"/>
        <v>1.7387545468930679</v>
      </c>
      <c r="H321">
        <f t="shared" ca="1" si="28"/>
        <v>-2.0557574380238619</v>
      </c>
      <c r="I321">
        <f t="shared" ca="1" si="29"/>
        <v>-2.5476276723097566</v>
      </c>
    </row>
    <row r="322" spans="1:9" x14ac:dyDescent="0.3">
      <c r="A322" s="1">
        <v>40644</v>
      </c>
      <c r="B322" t="s">
        <v>0</v>
      </c>
      <c r="C322">
        <v>287.60745709999998</v>
      </c>
      <c r="D322" s="2">
        <f t="shared" si="25"/>
        <v>-1.3664015904757258E-3</v>
      </c>
      <c r="E322" s="2">
        <f t="shared" ca="1" si="26"/>
        <v>-0.21240544818685703</v>
      </c>
      <c r="F322">
        <f t="shared" ca="1" si="27"/>
        <v>-0.21777126485000628</v>
      </c>
      <c r="G322" s="3">
        <f t="shared" ca="1" si="30"/>
        <v>1.7621037650119433</v>
      </c>
      <c r="H322">
        <f t="shared" ca="1" si="28"/>
        <v>-0.12358594832724296</v>
      </c>
      <c r="I322">
        <f t="shared" ca="1" si="29"/>
        <v>3.0485806525763719</v>
      </c>
    </row>
    <row r="323" spans="1:9" x14ac:dyDescent="0.3">
      <c r="A323" s="1">
        <v>40645</v>
      </c>
      <c r="B323" t="s">
        <v>0</v>
      </c>
      <c r="C323">
        <v>284.24008090000001</v>
      </c>
      <c r="D323" s="2">
        <f t="shared" si="25"/>
        <v>-1.1708236754199122E-2</v>
      </c>
      <c r="E323" s="2">
        <f t="shared" ca="1" si="26"/>
        <v>-0.56117456351688166</v>
      </c>
      <c r="F323">
        <f t="shared" ca="1" si="27"/>
        <v>-0.5587916971493172</v>
      </c>
      <c r="G323" s="3">
        <f t="shared" ca="1" si="30"/>
        <v>1.7562133474957047</v>
      </c>
      <c r="H323">
        <f t="shared" ca="1" si="28"/>
        <v>-0.31817984867620641</v>
      </c>
      <c r="I323">
        <f t="shared" ca="1" si="29"/>
        <v>1.163518001352168</v>
      </c>
    </row>
    <row r="324" spans="1:9" x14ac:dyDescent="0.3">
      <c r="A324" s="1">
        <v>40646</v>
      </c>
      <c r="B324" t="s">
        <v>0</v>
      </c>
      <c r="C324">
        <v>287.06451820000001</v>
      </c>
      <c r="D324" s="2">
        <f t="shared" ref="D324:D387" si="31">(C324-C323)/C323</f>
        <v>9.9368016328199669E-3</v>
      </c>
      <c r="E324" s="2">
        <f t="shared" ca="1" si="26"/>
        <v>2.8319840883121206</v>
      </c>
      <c r="F324">
        <f t="shared" ca="1" si="27"/>
        <v>2.8363259336402473</v>
      </c>
      <c r="G324" s="3">
        <f t="shared" ca="1" si="30"/>
        <v>1.7509837613081429</v>
      </c>
      <c r="H324">
        <f t="shared" ca="1" si="28"/>
        <v>1.6198470804328053</v>
      </c>
      <c r="I324">
        <f t="shared" ca="1" si="29"/>
        <v>-2.085031332458203</v>
      </c>
    </row>
    <row r="325" spans="1:9" x14ac:dyDescent="0.3">
      <c r="A325" s="1">
        <v>40647</v>
      </c>
      <c r="B325" t="s">
        <v>0</v>
      </c>
      <c r="C325">
        <v>288.1753291</v>
      </c>
      <c r="D325" s="2">
        <f t="shared" si="31"/>
        <v>3.8695513711174837E-3</v>
      </c>
      <c r="E325" s="2">
        <f t="shared" ca="1" si="26"/>
        <v>-0.67367404230101102</v>
      </c>
      <c r="F325">
        <f t="shared" ca="1" si="27"/>
        <v>-0.66934617277474262</v>
      </c>
      <c r="G325" s="3">
        <f t="shared" ca="1" si="30"/>
        <v>1.7630998108835512</v>
      </c>
      <c r="H325">
        <f t="shared" ca="1" si="28"/>
        <v>-0.37964167918508812</v>
      </c>
      <c r="I325">
        <f t="shared" ca="1" si="29"/>
        <v>0.80287438816322243</v>
      </c>
    </row>
    <row r="326" spans="1:9" x14ac:dyDescent="0.3">
      <c r="A326" s="1">
        <v>40648</v>
      </c>
      <c r="B326" t="s">
        <v>0</v>
      </c>
      <c r="C326">
        <v>264.35958440000002</v>
      </c>
      <c r="D326" s="2">
        <f t="shared" si="31"/>
        <v>-8.2643246298629736E-2</v>
      </c>
      <c r="E326" s="2">
        <f t="shared" ref="E326:E389" ca="1" si="32">$N$9*D325+$N$10*D324+F326</f>
        <v>1.0313661635158504</v>
      </c>
      <c r="F326">
        <f t="shared" ref="F326:F389" ca="1" si="33">G326*H326</f>
        <v>1.0240247834639384</v>
      </c>
      <c r="G326" s="3">
        <f t="shared" ca="1" si="30"/>
        <v>1.7580785519321283</v>
      </c>
      <c r="H326">
        <f t="shared" ref="H326:H389" ca="1" si="34">_xlfn.NORM.S.INV(RAND())</f>
        <v>0.5824681623801935</v>
      </c>
      <c r="I326">
        <f t="shared" ref="I326:I389" ca="1" si="35">-LN(F326^2)-(D326^2)/(F326^2)</f>
        <v>-5.3994648662831331E-2</v>
      </c>
    </row>
    <row r="327" spans="1:9" x14ac:dyDescent="0.3">
      <c r="A327" s="1">
        <v>40651</v>
      </c>
      <c r="B327" t="s">
        <v>0</v>
      </c>
      <c r="C327">
        <v>262.43675960000002</v>
      </c>
      <c r="D327" s="2">
        <f t="shared" si="31"/>
        <v>-7.2735202862574963E-3</v>
      </c>
      <c r="E327" s="2">
        <f t="shared" ca="1" si="32"/>
        <v>-0.86502199341058006</v>
      </c>
      <c r="F327">
        <f t="shared" ca="1" si="33"/>
        <v>-0.84279019032911273</v>
      </c>
      <c r="G327" s="3">
        <f t="shared" ref="G327:G390" ca="1" si="36">SQRT($N$6+$N$7*(H326^2)+$N$8*(G326^2))</f>
        <v>1.754457286854509</v>
      </c>
      <c r="H327">
        <f t="shared" ca="1" si="34"/>
        <v>-0.480370879726639</v>
      </c>
      <c r="I327">
        <f t="shared" ca="1" si="35"/>
        <v>0.34199999116854896</v>
      </c>
    </row>
    <row r="328" spans="1:9" x14ac:dyDescent="0.3">
      <c r="A328" s="1">
        <v>40652</v>
      </c>
      <c r="B328" t="s">
        <v>0</v>
      </c>
      <c r="C328">
        <v>259.7916745</v>
      </c>
      <c r="D328" s="2">
        <f t="shared" si="31"/>
        <v>-1.0078942843340979E-2</v>
      </c>
      <c r="E328" s="2">
        <f t="shared" ca="1" si="32"/>
        <v>3.5545268562115733</v>
      </c>
      <c r="F328">
        <f t="shared" ca="1" si="33"/>
        <v>3.6081572451504944</v>
      </c>
      <c r="G328" s="3">
        <f t="shared" ca="1" si="36"/>
        <v>1.7501390402716452</v>
      </c>
      <c r="H328">
        <f t="shared" ca="1" si="34"/>
        <v>2.0616403394958036</v>
      </c>
      <c r="I328">
        <f t="shared" ca="1" si="35"/>
        <v>-2.5664021701730642</v>
      </c>
    </row>
    <row r="329" spans="1:9" x14ac:dyDescent="0.3">
      <c r="A329" s="1">
        <v>40653</v>
      </c>
      <c r="B329" t="s">
        <v>0</v>
      </c>
      <c r="C329">
        <v>261.88384159999998</v>
      </c>
      <c r="D329" s="2">
        <f t="shared" si="31"/>
        <v>8.0532492198859256E-3</v>
      </c>
      <c r="E329" s="2">
        <f t="shared" ca="1" si="32"/>
        <v>-1.4748891218294355</v>
      </c>
      <c r="F329">
        <f t="shared" ca="1" si="33"/>
        <v>-1.4673547323331846</v>
      </c>
      <c r="G329" s="3">
        <f t="shared" ca="1" si="36"/>
        <v>1.7733313280185592</v>
      </c>
      <c r="H329">
        <f t="shared" ca="1" si="34"/>
        <v>-0.82745661182940977</v>
      </c>
      <c r="I329">
        <f t="shared" ca="1" si="35"/>
        <v>-0.76695267704053294</v>
      </c>
    </row>
    <row r="330" spans="1:9" x14ac:dyDescent="0.3">
      <c r="A330" s="1">
        <v>40654</v>
      </c>
      <c r="B330" t="s">
        <v>0</v>
      </c>
      <c r="C330">
        <v>261.57002879999999</v>
      </c>
      <c r="D330" s="2">
        <f t="shared" si="31"/>
        <v>-1.1982900437183513E-3</v>
      </c>
      <c r="E330" s="2">
        <f t="shared" ca="1" si="32"/>
        <v>1.7926993927746873</v>
      </c>
      <c r="F330">
        <f t="shared" ca="1" si="33"/>
        <v>1.7965743165980812</v>
      </c>
      <c r="G330" s="3">
        <f t="shared" ca="1" si="36"/>
        <v>1.7718531352390132</v>
      </c>
      <c r="H330">
        <f t="shared" ca="1" si="34"/>
        <v>1.0139521616478293</v>
      </c>
      <c r="I330">
        <f t="shared" ca="1" si="35"/>
        <v>-1.1717638331733022</v>
      </c>
    </row>
    <row r="331" spans="1:9" x14ac:dyDescent="0.3">
      <c r="A331" s="1">
        <v>40658</v>
      </c>
      <c r="B331" t="s">
        <v>0</v>
      </c>
      <c r="C331">
        <v>261.54512620000003</v>
      </c>
      <c r="D331" s="2">
        <f t="shared" si="31"/>
        <v>-9.5204332523136893E-5</v>
      </c>
      <c r="E331" s="2">
        <f t="shared" ca="1" si="32"/>
        <v>-1.9167967171677698</v>
      </c>
      <c r="F331">
        <f t="shared" ca="1" si="33"/>
        <v>-1.9214541601840409</v>
      </c>
      <c r="G331" s="3">
        <f t="shared" ca="1" si="36"/>
        <v>1.7727261135333026</v>
      </c>
      <c r="H331">
        <f t="shared" ca="1" si="34"/>
        <v>-1.083897927330862</v>
      </c>
      <c r="I331">
        <f t="shared" ca="1" si="35"/>
        <v>-1.3061645513985289</v>
      </c>
    </row>
    <row r="332" spans="1:9" x14ac:dyDescent="0.3">
      <c r="A332" s="1">
        <v>40659</v>
      </c>
      <c r="B332" t="s">
        <v>0</v>
      </c>
      <c r="C332">
        <v>265.41561610000002</v>
      </c>
      <c r="D332" s="2">
        <f t="shared" si="31"/>
        <v>1.4798554865978593E-2</v>
      </c>
      <c r="E332" s="2">
        <f t="shared" ca="1" si="32"/>
        <v>-2.8370321784382617</v>
      </c>
      <c r="F332">
        <f t="shared" ca="1" si="33"/>
        <v>-2.8362576205433871</v>
      </c>
      <c r="G332" s="3">
        <f t="shared" ca="1" si="36"/>
        <v>1.7745793907004852</v>
      </c>
      <c r="H332">
        <f t="shared" ca="1" si="34"/>
        <v>-1.5982703481210963</v>
      </c>
      <c r="I332">
        <f t="shared" ca="1" si="35"/>
        <v>-2.0849981115990133</v>
      </c>
    </row>
    <row r="333" spans="1:9" x14ac:dyDescent="0.3">
      <c r="A333" s="1">
        <v>40660</v>
      </c>
      <c r="B333" t="s">
        <v>0</v>
      </c>
      <c r="C333">
        <v>267.87640549999998</v>
      </c>
      <c r="D333" s="2">
        <f t="shared" si="31"/>
        <v>9.2714567294819895E-3</v>
      </c>
      <c r="E333" s="2">
        <f t="shared" ca="1" si="32"/>
        <v>-2.1846007953765332</v>
      </c>
      <c r="F333">
        <f t="shared" ca="1" si="33"/>
        <v>-2.1889539295843199</v>
      </c>
      <c r="G333" s="3">
        <f t="shared" ca="1" si="36"/>
        <v>1.7857121993377416</v>
      </c>
      <c r="H333">
        <f t="shared" ca="1" si="34"/>
        <v>-1.22581563277449</v>
      </c>
      <c r="I333">
        <f t="shared" ca="1" si="35"/>
        <v>-1.5668654839903018</v>
      </c>
    </row>
    <row r="334" spans="1:9" x14ac:dyDescent="0.3">
      <c r="A334" s="1">
        <v>40661</v>
      </c>
      <c r="B334" t="s">
        <v>0</v>
      </c>
      <c r="C334">
        <v>267.98098950000002</v>
      </c>
      <c r="D334" s="2">
        <f t="shared" si="31"/>
        <v>3.9041885680389017E-4</v>
      </c>
      <c r="E334" s="2">
        <f t="shared" ca="1" si="32"/>
        <v>2.5867238910294201</v>
      </c>
      <c r="F334">
        <f t="shared" ca="1" si="33"/>
        <v>2.5747444518030931</v>
      </c>
      <c r="G334" s="3">
        <f t="shared" ca="1" si="36"/>
        <v>1.7895571743280569</v>
      </c>
      <c r="H334">
        <f t="shared" ca="1" si="34"/>
        <v>1.4387606547244618</v>
      </c>
      <c r="I334">
        <f t="shared" ca="1" si="35"/>
        <v>-1.8915005973382133</v>
      </c>
    </row>
    <row r="335" spans="1:9" x14ac:dyDescent="0.3">
      <c r="A335" s="1">
        <v>40662</v>
      </c>
      <c r="B335" t="s">
        <v>0</v>
      </c>
      <c r="C335">
        <v>271.03455300000002</v>
      </c>
      <c r="D335" s="2">
        <f t="shared" si="31"/>
        <v>1.1394701936496863E-2</v>
      </c>
      <c r="E335" s="2">
        <f t="shared" ca="1" si="32"/>
        <v>1.4686121529069613</v>
      </c>
      <c r="F335">
        <f t="shared" ca="1" si="33"/>
        <v>1.4627224380080921</v>
      </c>
      <c r="G335" s="3">
        <f t="shared" ca="1" si="36"/>
        <v>1.7971339425439656</v>
      </c>
      <c r="H335">
        <f t="shared" ca="1" si="34"/>
        <v>0.81391954343564887</v>
      </c>
      <c r="I335">
        <f t="shared" ca="1" si="35"/>
        <v>-0.76065945094918463</v>
      </c>
    </row>
    <row r="336" spans="1:9" x14ac:dyDescent="0.3">
      <c r="A336" s="1">
        <v>40665</v>
      </c>
      <c r="B336" t="s">
        <v>0</v>
      </c>
      <c r="C336">
        <v>268.2749048</v>
      </c>
      <c r="D336" s="2">
        <f t="shared" si="31"/>
        <v>-1.0181905478302668E-2</v>
      </c>
      <c r="E336" s="2">
        <f t="shared" ca="1" si="32"/>
        <v>-3.5521057028144343</v>
      </c>
      <c r="F336">
        <f t="shared" ca="1" si="33"/>
        <v>-3.5557463216702292</v>
      </c>
      <c r="G336" s="3">
        <f t="shared" ca="1" si="36"/>
        <v>1.7951647953152077</v>
      </c>
      <c r="H336">
        <f t="shared" ca="1" si="34"/>
        <v>-1.9807353235477672</v>
      </c>
      <c r="I336">
        <f t="shared" ca="1" si="35"/>
        <v>-2.5371381536619233</v>
      </c>
    </row>
    <row r="337" spans="1:9" x14ac:dyDescent="0.3">
      <c r="A337" s="1">
        <v>40666</v>
      </c>
      <c r="B337" t="s">
        <v>0</v>
      </c>
      <c r="C337">
        <v>265.94860679999999</v>
      </c>
      <c r="D337" s="2">
        <f t="shared" si="31"/>
        <v>-8.671321686738731E-3</v>
      </c>
      <c r="E337" s="2">
        <f t="shared" ca="1" si="32"/>
        <v>-1.2139384021345911</v>
      </c>
      <c r="F337">
        <f t="shared" ca="1" si="33"/>
        <v>-1.2179979530691876</v>
      </c>
      <c r="G337" s="3">
        <f t="shared" ca="1" si="36"/>
        <v>1.8149469349293657</v>
      </c>
      <c r="H337">
        <f t="shared" ca="1" si="34"/>
        <v>-0.67109287309085419</v>
      </c>
      <c r="I337">
        <f t="shared" ca="1" si="35"/>
        <v>-0.39446766220810969</v>
      </c>
    </row>
    <row r="338" spans="1:9" x14ac:dyDescent="0.3">
      <c r="A338" s="1">
        <v>40667</v>
      </c>
      <c r="B338" t="s">
        <v>0</v>
      </c>
      <c r="C338">
        <v>266.8950802</v>
      </c>
      <c r="D338" s="2">
        <f t="shared" si="31"/>
        <v>3.5588582748687751E-3</v>
      </c>
      <c r="E338" s="2">
        <f t="shared" ca="1" si="32"/>
        <v>1.619795619971591</v>
      </c>
      <c r="F338">
        <f t="shared" ca="1" si="33"/>
        <v>1.6287213473403039</v>
      </c>
      <c r="G338" s="3">
        <f t="shared" ca="1" si="36"/>
        <v>1.8113190616026924</v>
      </c>
      <c r="H338">
        <f t="shared" ca="1" si="34"/>
        <v>0.89919075102051749</v>
      </c>
      <c r="I338">
        <f t="shared" ca="1" si="35"/>
        <v>-0.97559528948442353</v>
      </c>
    </row>
    <row r="339" spans="1:9" x14ac:dyDescent="0.3">
      <c r="A339" s="1">
        <v>40668</v>
      </c>
      <c r="B339" t="s">
        <v>0</v>
      </c>
      <c r="C339">
        <v>266.13790729999999</v>
      </c>
      <c r="D339" s="2">
        <f t="shared" si="31"/>
        <v>-2.8369683676169933E-3</v>
      </c>
      <c r="E339" s="2">
        <f t="shared" ca="1" si="32"/>
        <v>-0.58402848137029151</v>
      </c>
      <c r="F339">
        <f t="shared" ca="1" si="33"/>
        <v>-0.57969000653657599</v>
      </c>
      <c r="G339" s="3">
        <f t="shared" ca="1" si="36"/>
        <v>1.810119276963243</v>
      </c>
      <c r="H339">
        <f t="shared" ca="1" si="34"/>
        <v>-0.3202496177539727</v>
      </c>
      <c r="I339">
        <f t="shared" ca="1" si="35"/>
        <v>1.0904996289692024</v>
      </c>
    </row>
    <row r="340" spans="1:9" x14ac:dyDescent="0.3">
      <c r="A340" s="1">
        <v>40669</v>
      </c>
      <c r="B340" t="s">
        <v>0</v>
      </c>
      <c r="C340">
        <v>266.65100059999997</v>
      </c>
      <c r="D340" s="2">
        <f t="shared" si="31"/>
        <v>1.9279226518513321E-3</v>
      </c>
      <c r="E340" s="2">
        <f t="shared" ca="1" si="32"/>
        <v>1.5596613944429225</v>
      </c>
      <c r="F340">
        <f t="shared" ca="1" si="33"/>
        <v>1.5582911910707204</v>
      </c>
      <c r="G340" s="3">
        <f t="shared" ca="1" si="36"/>
        <v>1.8042404081790908</v>
      </c>
      <c r="H340">
        <f t="shared" ca="1" si="34"/>
        <v>0.86368267998354398</v>
      </c>
      <c r="I340">
        <f t="shared" ca="1" si="35"/>
        <v>-0.8871811917588337</v>
      </c>
    </row>
    <row r="341" spans="1:9" x14ac:dyDescent="0.3">
      <c r="A341" s="1">
        <v>40672</v>
      </c>
      <c r="B341" t="s">
        <v>0</v>
      </c>
      <c r="C341">
        <v>267.83654940000002</v>
      </c>
      <c r="D341" s="2">
        <f t="shared" si="31"/>
        <v>4.4460691965618271E-3</v>
      </c>
      <c r="E341" s="2">
        <f t="shared" ca="1" si="32"/>
        <v>-0.28906645534358183</v>
      </c>
      <c r="F341">
        <f t="shared" ca="1" si="33"/>
        <v>-0.28787472441640716</v>
      </c>
      <c r="G341" s="3">
        <f t="shared" ca="1" si="36"/>
        <v>1.8027271348066944</v>
      </c>
      <c r="H341">
        <f t="shared" ca="1" si="34"/>
        <v>-0.15968846247342686</v>
      </c>
      <c r="I341">
        <f t="shared" ca="1" si="35"/>
        <v>2.4902212249951416</v>
      </c>
    </row>
    <row r="342" spans="1:9" x14ac:dyDescent="0.3">
      <c r="A342" s="1">
        <v>40673</v>
      </c>
      <c r="B342" t="s">
        <v>0</v>
      </c>
      <c r="C342">
        <v>270.3172361</v>
      </c>
      <c r="D342" s="2">
        <f t="shared" si="31"/>
        <v>9.261942425547013E-3</v>
      </c>
      <c r="E342" s="2">
        <f t="shared" ca="1" si="32"/>
        <v>-7.1286959216060181E-2</v>
      </c>
      <c r="F342">
        <f t="shared" ca="1" si="33"/>
        <v>-7.3813134465562438E-2</v>
      </c>
      <c r="G342" s="3">
        <f t="shared" ca="1" si="36"/>
        <v>1.7964222114769253</v>
      </c>
      <c r="H342">
        <f t="shared" ca="1" si="34"/>
        <v>-4.1088967835059831E-2</v>
      </c>
      <c r="I342">
        <f t="shared" ca="1" si="35"/>
        <v>5.1966923893712966</v>
      </c>
    </row>
    <row r="343" spans="1:9" x14ac:dyDescent="0.3">
      <c r="A343" s="1">
        <v>40674</v>
      </c>
      <c r="B343" t="s">
        <v>0</v>
      </c>
      <c r="C343">
        <v>266.72570760000002</v>
      </c>
      <c r="D343" s="2">
        <f t="shared" si="31"/>
        <v>-1.3286346634113063E-2</v>
      </c>
      <c r="E343" s="2">
        <f t="shared" ca="1" si="32"/>
        <v>0.70797528597020221</v>
      </c>
      <c r="F343">
        <f t="shared" ca="1" si="33"/>
        <v>0.70244514221995547</v>
      </c>
      <c r="G343" s="3">
        <f t="shared" ca="1" si="36"/>
        <v>1.7900321032693283</v>
      </c>
      <c r="H343">
        <f t="shared" ca="1" si="34"/>
        <v>0.39242041577746251</v>
      </c>
      <c r="I343">
        <f t="shared" ca="1" si="35"/>
        <v>0.70601818487053158</v>
      </c>
    </row>
    <row r="344" spans="1:9" x14ac:dyDescent="0.3">
      <c r="A344" s="1">
        <v>40675</v>
      </c>
      <c r="B344" t="s">
        <v>0</v>
      </c>
      <c r="C344">
        <v>266.52645790000003</v>
      </c>
      <c r="D344" s="2">
        <f t="shared" si="31"/>
        <v>-7.4702098194000905E-4</v>
      </c>
      <c r="E344" s="2">
        <f t="shared" ca="1" si="32"/>
        <v>1.0601308712423922</v>
      </c>
      <c r="F344">
        <f t="shared" ca="1" si="33"/>
        <v>1.0583250196771909</v>
      </c>
      <c r="G344" s="3">
        <f t="shared" ca="1" si="36"/>
        <v>1.7847432404485561</v>
      </c>
      <c r="H344">
        <f t="shared" ca="1" si="34"/>
        <v>0.59298446728460741</v>
      </c>
      <c r="I344">
        <f t="shared" ca="1" si="35"/>
        <v>-0.11337547467237534</v>
      </c>
    </row>
    <row r="345" spans="1:9" x14ac:dyDescent="0.3">
      <c r="A345" s="1">
        <v>40676</v>
      </c>
      <c r="B345" t="s">
        <v>0</v>
      </c>
      <c r="C345">
        <v>263.78670720000002</v>
      </c>
      <c r="D345" s="2">
        <f t="shared" si="31"/>
        <v>-1.0279469894234472E-2</v>
      </c>
      <c r="E345" s="2">
        <f t="shared" ca="1" si="32"/>
        <v>0.46450970568935518</v>
      </c>
      <c r="F345">
        <f t="shared" ca="1" si="33"/>
        <v>0.47300580570326084</v>
      </c>
      <c r="G345" s="3">
        <f t="shared" ca="1" si="36"/>
        <v>1.7808541726986049</v>
      </c>
      <c r="H345">
        <f t="shared" ca="1" si="34"/>
        <v>0.26560614167890839</v>
      </c>
      <c r="I345">
        <f t="shared" ca="1" si="35"/>
        <v>1.4968229429801398</v>
      </c>
    </row>
    <row r="346" spans="1:9" x14ac:dyDescent="0.3">
      <c r="A346" s="1">
        <v>40679</v>
      </c>
      <c r="B346" t="s">
        <v>0</v>
      </c>
      <c r="C346">
        <v>258.24247780000002</v>
      </c>
      <c r="D346" s="2">
        <f t="shared" si="31"/>
        <v>-2.1017849833488523E-2</v>
      </c>
      <c r="E346" s="2">
        <f t="shared" ca="1" si="32"/>
        <v>-0.72187003491183699</v>
      </c>
      <c r="F346">
        <f t="shared" ca="1" si="33"/>
        <v>-0.71833988474353005</v>
      </c>
      <c r="G346" s="3">
        <f t="shared" ca="1" si="36"/>
        <v>1.7751141578379079</v>
      </c>
      <c r="H346">
        <f t="shared" ca="1" si="34"/>
        <v>-0.40467250039764724</v>
      </c>
      <c r="I346">
        <f t="shared" ca="1" si="35"/>
        <v>0.66076880527324144</v>
      </c>
    </row>
    <row r="347" spans="1:9" x14ac:dyDescent="0.3">
      <c r="A347" s="1">
        <v>40680</v>
      </c>
      <c r="B347" t="s">
        <v>0</v>
      </c>
      <c r="C347">
        <v>264.24001600000003</v>
      </c>
      <c r="D347" s="2">
        <f t="shared" si="31"/>
        <v>2.3224444913531601E-2</v>
      </c>
      <c r="E347" s="2">
        <f t="shared" ca="1" si="32"/>
        <v>-0.85275729990034776</v>
      </c>
      <c r="F347">
        <f t="shared" ca="1" si="33"/>
        <v>-0.84008951148776545</v>
      </c>
      <c r="G347" s="3">
        <f t="shared" ca="1" si="36"/>
        <v>1.770076713486169</v>
      </c>
      <c r="H347">
        <f t="shared" ca="1" si="34"/>
        <v>-0.47460627276046574</v>
      </c>
      <c r="I347">
        <f t="shared" ca="1" si="35"/>
        <v>0.34772940581639944</v>
      </c>
    </row>
    <row r="348" spans="1:9" x14ac:dyDescent="0.3">
      <c r="A348" s="1">
        <v>40681</v>
      </c>
      <c r="B348" t="s">
        <v>0</v>
      </c>
      <c r="C348">
        <v>263.91622419999999</v>
      </c>
      <c r="D348" s="2">
        <f t="shared" si="31"/>
        <v>-1.2253700438772214E-3</v>
      </c>
      <c r="E348" s="2">
        <f t="shared" ca="1" si="32"/>
        <v>2.0069186566193404</v>
      </c>
      <c r="F348">
        <f t="shared" ca="1" si="33"/>
        <v>2.0130816754542691</v>
      </c>
      <c r="G348" s="3">
        <f t="shared" ca="1" si="36"/>
        <v>1.7655208730684735</v>
      </c>
      <c r="H348">
        <f t="shared" ca="1" si="34"/>
        <v>1.140219697292808</v>
      </c>
      <c r="I348">
        <f t="shared" ca="1" si="35"/>
        <v>-1.3993338101814845</v>
      </c>
    </row>
    <row r="349" spans="1:9" x14ac:dyDescent="0.3">
      <c r="A349" s="1">
        <v>40682</v>
      </c>
      <c r="B349" t="s">
        <v>0</v>
      </c>
      <c r="C349">
        <v>264.63354099999998</v>
      </c>
      <c r="D349" s="2">
        <f t="shared" si="31"/>
        <v>2.717971591835133E-3</v>
      </c>
      <c r="E349" s="2">
        <f t="shared" ca="1" si="32"/>
        <v>-2.073608743854034</v>
      </c>
      <c r="F349">
        <f t="shared" ca="1" si="33"/>
        <v>-2.0877051660089023</v>
      </c>
      <c r="G349" s="3">
        <f t="shared" ca="1" si="36"/>
        <v>1.7683435368560558</v>
      </c>
      <c r="H349">
        <f t="shared" ca="1" si="34"/>
        <v>-1.1805993137061144</v>
      </c>
      <c r="I349">
        <f t="shared" ca="1" si="35"/>
        <v>-1.4721326069918208</v>
      </c>
    </row>
    <row r="350" spans="1:9" x14ac:dyDescent="0.3">
      <c r="A350" s="1">
        <v>40683</v>
      </c>
      <c r="B350" t="s">
        <v>0</v>
      </c>
      <c r="C350">
        <v>261.0370077</v>
      </c>
      <c r="D350" s="2">
        <f t="shared" si="31"/>
        <v>-1.3590617751662766E-2</v>
      </c>
      <c r="E350" s="2">
        <f t="shared" ca="1" si="32"/>
        <v>-4.8501080132685974</v>
      </c>
      <c r="F350">
        <f t="shared" ca="1" si="33"/>
        <v>-4.8501553845859071</v>
      </c>
      <c r="G350" s="3">
        <f t="shared" ca="1" si="36"/>
        <v>1.7717544681366511</v>
      </c>
      <c r="H350">
        <f t="shared" ca="1" si="34"/>
        <v>-2.7374873165618716</v>
      </c>
      <c r="I350">
        <f t="shared" ca="1" si="35"/>
        <v>-3.1580293367516146</v>
      </c>
    </row>
    <row r="351" spans="1:9" x14ac:dyDescent="0.3">
      <c r="A351" s="1">
        <v>40686</v>
      </c>
      <c r="B351" t="s">
        <v>0</v>
      </c>
      <c r="C351">
        <v>258.22755469999998</v>
      </c>
      <c r="D351" s="2">
        <f t="shared" si="31"/>
        <v>-1.0762661680633489E-2</v>
      </c>
      <c r="E351" s="2">
        <f t="shared" ca="1" si="32"/>
        <v>1.3072661240480015</v>
      </c>
      <c r="F351">
        <f t="shared" ca="1" si="33"/>
        <v>1.3096259046426897</v>
      </c>
      <c r="G351" s="3">
        <f t="shared" ca="1" si="36"/>
        <v>1.8159381208778433</v>
      </c>
      <c r="H351">
        <f t="shared" ca="1" si="34"/>
        <v>0.72118421304444169</v>
      </c>
      <c r="I351">
        <f t="shared" ca="1" si="35"/>
        <v>-0.5395505923926508</v>
      </c>
    </row>
    <row r="352" spans="1:9" x14ac:dyDescent="0.3">
      <c r="A352" s="1">
        <v>40687</v>
      </c>
      <c r="B352" t="s">
        <v>0</v>
      </c>
      <c r="C352">
        <v>258.16279600000001</v>
      </c>
      <c r="D352" s="2">
        <f t="shared" si="31"/>
        <v>-2.5078152513663681E-4</v>
      </c>
      <c r="E352" s="2">
        <f t="shared" ca="1" si="32"/>
        <v>-3.984658660501426</v>
      </c>
      <c r="F352">
        <f t="shared" ca="1" si="33"/>
        <v>-3.9729867739460025</v>
      </c>
      <c r="G352" s="3">
        <f t="shared" ca="1" si="36"/>
        <v>1.8127594934630531</v>
      </c>
      <c r="H352">
        <f t="shared" ca="1" si="34"/>
        <v>-2.1916789228096123</v>
      </c>
      <c r="I352">
        <f t="shared" ca="1" si="35"/>
        <v>-2.7590362996699009</v>
      </c>
    </row>
    <row r="353" spans="1:9" x14ac:dyDescent="0.3">
      <c r="A353" s="1">
        <v>40688</v>
      </c>
      <c r="B353" t="s">
        <v>0</v>
      </c>
      <c r="C353">
        <v>258.86515930000002</v>
      </c>
      <c r="D353" s="2">
        <f t="shared" si="31"/>
        <v>2.720621680902471E-3</v>
      </c>
      <c r="E353" s="2">
        <f t="shared" ca="1" si="32"/>
        <v>0.80119148570871457</v>
      </c>
      <c r="F353">
        <f t="shared" ca="1" si="33"/>
        <v>0.80796813397976242</v>
      </c>
      <c r="G353" s="3">
        <f t="shared" ca="1" si="36"/>
        <v>1.8378515716455477</v>
      </c>
      <c r="H353">
        <f t="shared" ca="1" si="34"/>
        <v>0.43962643471601798</v>
      </c>
      <c r="I353">
        <f t="shared" ca="1" si="35"/>
        <v>0.42645398046781358</v>
      </c>
    </row>
    <row r="354" spans="1:9" x14ac:dyDescent="0.3">
      <c r="A354" s="1">
        <v>40689</v>
      </c>
      <c r="B354" t="s">
        <v>0</v>
      </c>
      <c r="C354">
        <v>258.09803770000002</v>
      </c>
      <c r="D354" s="2">
        <f t="shared" si="31"/>
        <v>-2.9634022673208607E-3</v>
      </c>
      <c r="E354" s="2">
        <f t="shared" ca="1" si="32"/>
        <v>-0.22239419650751754</v>
      </c>
      <c r="F354">
        <f t="shared" ca="1" si="33"/>
        <v>-0.22304923104204949</v>
      </c>
      <c r="G354" s="3">
        <f t="shared" ca="1" si="36"/>
        <v>1.83223468444437</v>
      </c>
      <c r="H354">
        <f t="shared" ca="1" si="34"/>
        <v>-0.12173616891751493</v>
      </c>
      <c r="I354">
        <f t="shared" ca="1" si="35"/>
        <v>3.0005490155215404</v>
      </c>
    </row>
    <row r="355" spans="1:9" x14ac:dyDescent="0.3">
      <c r="A355" s="1">
        <v>40690</v>
      </c>
      <c r="B355" t="s">
        <v>0</v>
      </c>
      <c r="C355">
        <v>259.47786180000003</v>
      </c>
      <c r="D355" s="2">
        <f t="shared" si="31"/>
        <v>5.3461239469160347E-3</v>
      </c>
      <c r="E355" s="2">
        <f t="shared" ca="1" si="32"/>
        <v>0.49176718088533339</v>
      </c>
      <c r="F355">
        <f t="shared" ca="1" si="33"/>
        <v>0.49095664289150232</v>
      </c>
      <c r="G355" s="3">
        <f t="shared" ca="1" si="36"/>
        <v>1.8255122986915555</v>
      </c>
      <c r="H355">
        <f t="shared" ca="1" si="34"/>
        <v>0.26894184347232158</v>
      </c>
      <c r="I355">
        <f t="shared" ca="1" si="35"/>
        <v>1.4226803429132571</v>
      </c>
    </row>
    <row r="356" spans="1:9" x14ac:dyDescent="0.3">
      <c r="A356" s="1">
        <v>40694</v>
      </c>
      <c r="B356" t="s">
        <v>0</v>
      </c>
      <c r="C356">
        <v>263.52269919999998</v>
      </c>
      <c r="D356" s="2">
        <f t="shared" si="31"/>
        <v>1.5588371863175066E-2</v>
      </c>
      <c r="E356" s="2">
        <f t="shared" ca="1" si="32"/>
        <v>-0.22341850235130672</v>
      </c>
      <c r="F356">
        <f t="shared" ca="1" si="33"/>
        <v>-0.22316723094737123</v>
      </c>
      <c r="G356" s="3">
        <f t="shared" ca="1" si="36"/>
        <v>1.8192483712372973</v>
      </c>
      <c r="H356">
        <f t="shared" ca="1" si="34"/>
        <v>-0.12267001827551009</v>
      </c>
      <c r="I356">
        <f t="shared" ca="1" si="35"/>
        <v>2.9947886373825625</v>
      </c>
    </row>
    <row r="357" spans="1:9" x14ac:dyDescent="0.3">
      <c r="A357" s="1">
        <v>40695</v>
      </c>
      <c r="B357" t="s">
        <v>0</v>
      </c>
      <c r="C357">
        <v>261.81908279999999</v>
      </c>
      <c r="D357" s="2">
        <f t="shared" si="31"/>
        <v>-6.4647804730742801E-3</v>
      </c>
      <c r="E357" s="2">
        <f t="shared" ca="1" si="32"/>
        <v>-1.1106384536528229</v>
      </c>
      <c r="F357">
        <f t="shared" ca="1" si="33"/>
        <v>-1.1186153811443134</v>
      </c>
      <c r="G357" s="3">
        <f t="shared" ca="1" si="36"/>
        <v>1.8126793006090631</v>
      </c>
      <c r="H357">
        <f t="shared" ca="1" si="34"/>
        <v>-0.61710605994588053</v>
      </c>
      <c r="I357">
        <f t="shared" ca="1" si="35"/>
        <v>-0.22421670729002163</v>
      </c>
    </row>
    <row r="358" spans="1:9" x14ac:dyDescent="0.3">
      <c r="A358" s="1">
        <v>40696</v>
      </c>
      <c r="B358" t="s">
        <v>0</v>
      </c>
      <c r="C358">
        <v>263.04448769999999</v>
      </c>
      <c r="D358" s="2">
        <f t="shared" si="31"/>
        <v>4.6803498312461469E-3</v>
      </c>
      <c r="E358" s="2">
        <f t="shared" ca="1" si="32"/>
        <v>-0.47608517867469008</v>
      </c>
      <c r="F358">
        <f t="shared" ca="1" si="33"/>
        <v>-0.48386443223872105</v>
      </c>
      <c r="G358" s="3">
        <f t="shared" ca="1" si="36"/>
        <v>1.808619553362194</v>
      </c>
      <c r="H358">
        <f t="shared" ca="1" si="34"/>
        <v>-0.26753245664032826</v>
      </c>
      <c r="I358">
        <f t="shared" ca="1" si="35"/>
        <v>1.4518074562641865</v>
      </c>
    </row>
    <row r="359" spans="1:9" x14ac:dyDescent="0.3">
      <c r="A359" s="1">
        <v>40697</v>
      </c>
      <c r="B359" t="s">
        <v>0</v>
      </c>
      <c r="C359">
        <v>260.56380139999999</v>
      </c>
      <c r="D359" s="2">
        <f t="shared" si="31"/>
        <v>-9.4306720573791459E-3</v>
      </c>
      <c r="E359" s="2">
        <f t="shared" ca="1" si="32"/>
        <v>-3.9534317474204896</v>
      </c>
      <c r="F359">
        <f t="shared" ca="1" si="33"/>
        <v>-3.9508016685378791</v>
      </c>
      <c r="G359" s="3">
        <f t="shared" ca="1" si="36"/>
        <v>1.8025522153712414</v>
      </c>
      <c r="H359">
        <f t="shared" ca="1" si="34"/>
        <v>-2.1917820936600156</v>
      </c>
      <c r="I359">
        <f t="shared" ca="1" si="35"/>
        <v>-2.7478427226618054</v>
      </c>
    </row>
    <row r="360" spans="1:9" x14ac:dyDescent="0.3">
      <c r="A360" s="1">
        <v>40700</v>
      </c>
      <c r="B360" t="s">
        <v>0</v>
      </c>
      <c r="C360">
        <v>259.55757399999999</v>
      </c>
      <c r="D360" s="2">
        <f t="shared" si="31"/>
        <v>-3.8617313479216084E-3</v>
      </c>
      <c r="E360" s="2">
        <f t="shared" ca="1" si="32"/>
        <v>-3.3980953126734361</v>
      </c>
      <c r="F360">
        <f t="shared" ca="1" si="33"/>
        <v>-3.3981978505687302</v>
      </c>
      <c r="G360" s="3">
        <f t="shared" ca="1" si="36"/>
        <v>1.8279417155926261</v>
      </c>
      <c r="H360">
        <f t="shared" ca="1" si="34"/>
        <v>-1.8590296515373417</v>
      </c>
      <c r="I360">
        <f t="shared" ca="1" si="35"/>
        <v>-2.4464917857154549</v>
      </c>
    </row>
    <row r="361" spans="1:9" x14ac:dyDescent="0.3">
      <c r="A361" s="1">
        <v>40701</v>
      </c>
      <c r="B361" t="s">
        <v>0</v>
      </c>
      <c r="C361">
        <v>258.54634179999999</v>
      </c>
      <c r="D361" s="2">
        <f t="shared" si="31"/>
        <v>-3.8959841718970412E-3</v>
      </c>
      <c r="E361" s="2">
        <f t="shared" ca="1" si="32"/>
        <v>0.12966521804362213</v>
      </c>
      <c r="F361">
        <f t="shared" ca="1" si="33"/>
        <v>0.13668910121963149</v>
      </c>
      <c r="G361" s="3">
        <f t="shared" ca="1" si="36"/>
        <v>1.8438378918601068</v>
      </c>
      <c r="H361">
        <f t="shared" ca="1" si="34"/>
        <v>7.4132927749812283E-2</v>
      </c>
      <c r="I361">
        <f t="shared" ca="1" si="35"/>
        <v>3.9792801385323711</v>
      </c>
    </row>
    <row r="362" spans="1:9" x14ac:dyDescent="0.3">
      <c r="A362" s="1">
        <v>40702</v>
      </c>
      <c r="B362" t="s">
        <v>0</v>
      </c>
      <c r="C362">
        <v>258.61607450000002</v>
      </c>
      <c r="D362" s="2">
        <f t="shared" si="31"/>
        <v>2.6971064264360596E-4</v>
      </c>
      <c r="E362" s="2">
        <f t="shared" ca="1" si="32"/>
        <v>2.4572241700024455</v>
      </c>
      <c r="F362">
        <f t="shared" ca="1" si="33"/>
        <v>2.4607905051972732</v>
      </c>
      <c r="G362" s="3">
        <f t="shared" ca="1" si="36"/>
        <v>1.8369194857957034</v>
      </c>
      <c r="H362">
        <f t="shared" ca="1" si="34"/>
        <v>1.3396289408576478</v>
      </c>
      <c r="I362">
        <f t="shared" ca="1" si="35"/>
        <v>-1.8009652958140927</v>
      </c>
    </row>
    <row r="363" spans="1:9" x14ac:dyDescent="0.3">
      <c r="A363" s="1">
        <v>40703</v>
      </c>
      <c r="B363" t="s">
        <v>0</v>
      </c>
      <c r="C363">
        <v>257.40064869999998</v>
      </c>
      <c r="D363" s="2">
        <f t="shared" si="31"/>
        <v>-4.6997302946072215E-3</v>
      </c>
      <c r="E363" s="2">
        <f t="shared" ca="1" si="32"/>
        <v>-3.0741341184070534</v>
      </c>
      <c r="F363">
        <f t="shared" ca="1" si="33"/>
        <v>-3.0717885203214625</v>
      </c>
      <c r="G363" s="3">
        <f t="shared" ca="1" si="36"/>
        <v>1.841793298363209</v>
      </c>
      <c r="H363">
        <f t="shared" ca="1" si="34"/>
        <v>-1.6678247895957397</v>
      </c>
      <c r="I363">
        <f t="shared" ca="1" si="35"/>
        <v>-2.2445222845434309</v>
      </c>
    </row>
    <row r="364" spans="1:9" x14ac:dyDescent="0.3">
      <c r="A364" s="1">
        <v>40704</v>
      </c>
      <c r="B364" t="s">
        <v>0</v>
      </c>
      <c r="C364">
        <v>253.8041154</v>
      </c>
      <c r="D364" s="2">
        <f t="shared" si="31"/>
        <v>-1.3972510629496235E-2</v>
      </c>
      <c r="E364" s="2">
        <f t="shared" ca="1" si="32"/>
        <v>4.1853624683443433</v>
      </c>
      <c r="F364">
        <f t="shared" ca="1" si="33"/>
        <v>4.1865958175716331</v>
      </c>
      <c r="G364" s="3">
        <f t="shared" ca="1" si="36"/>
        <v>1.8529930557782766</v>
      </c>
      <c r="H364">
        <f t="shared" ca="1" si="34"/>
        <v>2.2593694048212281</v>
      </c>
      <c r="I364">
        <f t="shared" ca="1" si="35"/>
        <v>-2.8637870378514347</v>
      </c>
    </row>
    <row r="365" spans="1:9" x14ac:dyDescent="0.3">
      <c r="A365" s="1">
        <v>40707</v>
      </c>
      <c r="B365" t="s">
        <v>0</v>
      </c>
      <c r="C365">
        <v>251.42303870000001</v>
      </c>
      <c r="D365" s="2">
        <f t="shared" si="31"/>
        <v>-9.3815527626389082E-3</v>
      </c>
      <c r="E365" s="2">
        <f t="shared" ca="1" si="32"/>
        <v>-0.15761563331773851</v>
      </c>
      <c r="F365">
        <f t="shared" ca="1" si="33"/>
        <v>-0.15052300699558535</v>
      </c>
      <c r="G365" s="3">
        <f t="shared" ca="1" si="36"/>
        <v>1.8788752626233161</v>
      </c>
      <c r="H365">
        <f t="shared" ca="1" si="34"/>
        <v>-8.0113358236151719E-2</v>
      </c>
      <c r="I365">
        <f t="shared" ca="1" si="35"/>
        <v>3.7833940956389975</v>
      </c>
    </row>
    <row r="366" spans="1:9" x14ac:dyDescent="0.3">
      <c r="A366" s="1">
        <v>40708</v>
      </c>
      <c r="B366" t="s">
        <v>0</v>
      </c>
      <c r="C366">
        <v>253.23624340000001</v>
      </c>
      <c r="D366" s="2">
        <f t="shared" si="31"/>
        <v>7.2117682984634132E-3</v>
      </c>
      <c r="E366" s="2">
        <f t="shared" ca="1" si="32"/>
        <v>-0.72120648302024137</v>
      </c>
      <c r="F366">
        <f t="shared" ca="1" si="33"/>
        <v>-0.70970859197990566</v>
      </c>
      <c r="G366" s="3">
        <f t="shared" ca="1" si="36"/>
        <v>1.8715596366418548</v>
      </c>
      <c r="H366">
        <f t="shared" ca="1" si="34"/>
        <v>-0.37920704106086511</v>
      </c>
      <c r="I366">
        <f t="shared" ca="1" si="35"/>
        <v>0.68569839613025385</v>
      </c>
    </row>
    <row r="367" spans="1:9" x14ac:dyDescent="0.3">
      <c r="A367" s="1">
        <v>40709</v>
      </c>
      <c r="B367" t="s">
        <v>0</v>
      </c>
      <c r="C367">
        <v>250.53636420000001</v>
      </c>
      <c r="D367" s="2">
        <f t="shared" si="31"/>
        <v>-1.0661503913305949E-2</v>
      </c>
      <c r="E367" s="2">
        <f t="shared" ca="1" si="32"/>
        <v>2.5457553191970925</v>
      </c>
      <c r="F367">
        <f t="shared" ca="1" si="33"/>
        <v>2.5494468810498745</v>
      </c>
      <c r="G367" s="3">
        <f t="shared" ca="1" si="36"/>
        <v>1.8652132162281976</v>
      </c>
      <c r="H367">
        <f t="shared" ca="1" si="34"/>
        <v>1.3668393826874776</v>
      </c>
      <c r="I367">
        <f t="shared" ca="1" si="35"/>
        <v>-1.8717703406955253</v>
      </c>
    </row>
    <row r="368" spans="1:9" x14ac:dyDescent="0.3">
      <c r="A368" s="1">
        <v>40710</v>
      </c>
      <c r="B368" t="s">
        <v>0</v>
      </c>
      <c r="C368">
        <v>249.2511749</v>
      </c>
      <c r="D368" s="2">
        <f t="shared" si="31"/>
        <v>-5.1297515396769421E-3</v>
      </c>
      <c r="E368" s="2">
        <f t="shared" ca="1" si="32"/>
        <v>1.8322657387595693</v>
      </c>
      <c r="F368">
        <f t="shared" ca="1" si="33"/>
        <v>1.8309538864667889</v>
      </c>
      <c r="G368" s="3">
        <f t="shared" ca="1" si="36"/>
        <v>1.8700584475018507</v>
      </c>
      <c r="H368">
        <f t="shared" ca="1" si="34"/>
        <v>0.97908912361145706</v>
      </c>
      <c r="I368">
        <f t="shared" ca="1" si="35"/>
        <v>-1.2096820103959403</v>
      </c>
    </row>
    <row r="369" spans="1:9" x14ac:dyDescent="0.3">
      <c r="A369" s="1">
        <v>40711</v>
      </c>
      <c r="B369" t="s">
        <v>0</v>
      </c>
      <c r="C369">
        <v>241.60481480000001</v>
      </c>
      <c r="D369" s="2">
        <f t="shared" si="31"/>
        <v>-3.067732821346866E-2</v>
      </c>
      <c r="E369" s="2">
        <f t="shared" ca="1" si="32"/>
        <v>7.2077542604652434E-4</v>
      </c>
      <c r="F369">
        <f t="shared" ca="1" si="33"/>
        <v>8.8891733332930843E-3</v>
      </c>
      <c r="G369" s="3">
        <f t="shared" ca="1" si="36"/>
        <v>1.8689770448358383</v>
      </c>
      <c r="H369">
        <f t="shared" ca="1" si="34"/>
        <v>4.7561704183872767E-3</v>
      </c>
      <c r="I369">
        <f t="shared" ca="1" si="35"/>
        <v>-2.4641727669395159</v>
      </c>
    </row>
    <row r="370" spans="1:9" x14ac:dyDescent="0.3">
      <c r="A370" s="1">
        <v>40714</v>
      </c>
      <c r="B370" t="s">
        <v>0</v>
      </c>
      <c r="C370">
        <v>241.38563740000001</v>
      </c>
      <c r="D370" s="2">
        <f t="shared" si="31"/>
        <v>-9.071731462861833E-4</v>
      </c>
      <c r="E370" s="2">
        <f t="shared" ca="1" si="32"/>
        <v>-8.2217423216920951E-2</v>
      </c>
      <c r="F370">
        <f t="shared" ca="1" si="33"/>
        <v>-6.9876224791127553E-2</v>
      </c>
      <c r="G370" s="3">
        <f t="shared" ca="1" si="36"/>
        <v>1.8617335461838505</v>
      </c>
      <c r="H370">
        <f t="shared" ca="1" si="34"/>
        <v>-3.7532881616898744E-2</v>
      </c>
      <c r="I370">
        <f t="shared" ca="1" si="35"/>
        <v>5.3218910915019277</v>
      </c>
    </row>
    <row r="371" spans="1:9" x14ac:dyDescent="0.3">
      <c r="A371" s="1">
        <v>40715</v>
      </c>
      <c r="B371" t="s">
        <v>0</v>
      </c>
      <c r="C371">
        <v>245.5799346</v>
      </c>
      <c r="D371" s="2">
        <f t="shared" si="31"/>
        <v>1.7375918655216534E-2</v>
      </c>
      <c r="E371" s="2">
        <f t="shared" ca="1" si="32"/>
        <v>3.8077344312800783</v>
      </c>
      <c r="F371">
        <f t="shared" ca="1" si="33"/>
        <v>3.8271075899340565</v>
      </c>
      <c r="G371" s="3">
        <f t="shared" ca="1" si="36"/>
        <v>1.8545821176101878</v>
      </c>
      <c r="H371">
        <f t="shared" ca="1" si="34"/>
        <v>2.0635956497120023</v>
      </c>
      <c r="I371">
        <f t="shared" ca="1" si="35"/>
        <v>-2.6842392524890148</v>
      </c>
    </row>
    <row r="372" spans="1:9" x14ac:dyDescent="0.3">
      <c r="A372" s="1">
        <v>40716</v>
      </c>
      <c r="B372" t="s">
        <v>0</v>
      </c>
      <c r="C372">
        <v>242.59610369999999</v>
      </c>
      <c r="D372" s="2">
        <f t="shared" si="31"/>
        <v>-1.2150141276240959E-2</v>
      </c>
      <c r="E372" s="2">
        <f t="shared" ca="1" si="32"/>
        <v>3.0904510036900299</v>
      </c>
      <c r="F372">
        <f t="shared" ca="1" si="33"/>
        <v>3.0858349989715186</v>
      </c>
      <c r="G372" s="3">
        <f t="shared" ca="1" si="36"/>
        <v>1.8750014901060621</v>
      </c>
      <c r="H372">
        <f t="shared" ca="1" si="34"/>
        <v>1.6457773581806401</v>
      </c>
      <c r="I372">
        <f t="shared" ca="1" si="35"/>
        <v>-2.2536600728672243</v>
      </c>
    </row>
    <row r="373" spans="1:9" x14ac:dyDescent="0.3">
      <c r="A373" s="1">
        <v>40717</v>
      </c>
      <c r="B373" t="s">
        <v>0</v>
      </c>
      <c r="C373">
        <v>239.213774</v>
      </c>
      <c r="D373" s="2">
        <f t="shared" si="31"/>
        <v>-1.3942225981430656E-2</v>
      </c>
      <c r="E373" s="2">
        <f t="shared" ca="1" si="32"/>
        <v>0.30871491157884873</v>
      </c>
      <c r="F373">
        <f t="shared" ca="1" si="33"/>
        <v>0.3015177366390232</v>
      </c>
      <c r="G373" s="3">
        <f t="shared" ca="1" si="36"/>
        <v>1.8850380257301349</v>
      </c>
      <c r="H373">
        <f t="shared" ca="1" si="34"/>
        <v>0.15995313225696645</v>
      </c>
      <c r="I373">
        <f t="shared" ca="1" si="35"/>
        <v>2.3957147214505325</v>
      </c>
    </row>
    <row r="374" spans="1:9" x14ac:dyDescent="0.3">
      <c r="A374" s="1">
        <v>40718</v>
      </c>
      <c r="B374" t="s">
        <v>0</v>
      </c>
      <c r="C374">
        <v>236.55375050000001</v>
      </c>
      <c r="D374" s="2">
        <f t="shared" si="31"/>
        <v>-1.1119859260278191E-2</v>
      </c>
      <c r="E374" s="2">
        <f t="shared" ca="1" si="32"/>
        <v>-1.1708438248715347</v>
      </c>
      <c r="F374">
        <f t="shared" ca="1" si="33"/>
        <v>-1.1591208820699541</v>
      </c>
      <c r="G374" s="3">
        <f t="shared" ca="1" si="36"/>
        <v>1.8777746645188822</v>
      </c>
      <c r="H374">
        <f t="shared" ca="1" si="34"/>
        <v>-0.61728433340373168</v>
      </c>
      <c r="I374">
        <f t="shared" ca="1" si="35"/>
        <v>-0.29541574750414307</v>
      </c>
    </row>
    <row r="375" spans="1:9" x14ac:dyDescent="0.3">
      <c r="A375" s="1">
        <v>40721</v>
      </c>
      <c r="B375" t="s">
        <v>0</v>
      </c>
      <c r="C375">
        <v>240.49896279999999</v>
      </c>
      <c r="D375" s="2">
        <f t="shared" si="31"/>
        <v>1.6677868313907711E-2</v>
      </c>
      <c r="E375" s="2">
        <f t="shared" ca="1" si="32"/>
        <v>-2.7198995977233689</v>
      </c>
      <c r="F375">
        <f t="shared" ca="1" si="33"/>
        <v>-2.7079022619106792</v>
      </c>
      <c r="G375" s="3">
        <f t="shared" ca="1" si="36"/>
        <v>1.8728771835578983</v>
      </c>
      <c r="H375">
        <f t="shared" ca="1" si="34"/>
        <v>-1.4458514875847259</v>
      </c>
      <c r="I375">
        <f t="shared" ca="1" si="35"/>
        <v>-1.9923864569115897</v>
      </c>
    </row>
    <row r="376" spans="1:9" x14ac:dyDescent="0.3">
      <c r="A376" s="1">
        <v>40722</v>
      </c>
      <c r="B376" t="s">
        <v>0</v>
      </c>
      <c r="C376">
        <v>245.90371149999999</v>
      </c>
      <c r="D376" s="2">
        <f t="shared" si="31"/>
        <v>2.24730644867463E-2</v>
      </c>
      <c r="E376" s="2">
        <f t="shared" ca="1" si="32"/>
        <v>2.5126855980215558E-2</v>
      </c>
      <c r="F376">
        <f t="shared" ca="1" si="33"/>
        <v>2.7078391667204636E-2</v>
      </c>
      <c r="G376" s="3">
        <f t="shared" ca="1" si="36"/>
        <v>1.8790080278245356</v>
      </c>
      <c r="H376">
        <f t="shared" ca="1" si="34"/>
        <v>1.4411003713781501E-2</v>
      </c>
      <c r="I376">
        <f t="shared" ca="1" si="35"/>
        <v>6.5292610873424328</v>
      </c>
    </row>
    <row r="377" spans="1:9" x14ac:dyDescent="0.3">
      <c r="A377" s="1">
        <v>40723</v>
      </c>
      <c r="B377" t="s">
        <v>0</v>
      </c>
      <c r="C377">
        <v>247.85639739999999</v>
      </c>
      <c r="D377" s="2">
        <f t="shared" si="31"/>
        <v>7.9408557442615345E-3</v>
      </c>
      <c r="E377" s="2">
        <f t="shared" ca="1" si="32"/>
        <v>1.9801841771096063</v>
      </c>
      <c r="F377">
        <f t="shared" ca="1" si="33"/>
        <v>1.963098232412251</v>
      </c>
      <c r="G377" s="3">
        <f t="shared" ca="1" si="36"/>
        <v>1.8716510039888179</v>
      </c>
      <c r="H377">
        <f t="shared" ca="1" si="34"/>
        <v>1.0488591239651746</v>
      </c>
      <c r="I377">
        <f t="shared" ca="1" si="35"/>
        <v>-1.3490642745836623</v>
      </c>
    </row>
    <row r="378" spans="1:9" x14ac:dyDescent="0.3">
      <c r="A378" s="1">
        <v>40724</v>
      </c>
      <c r="B378" t="s">
        <v>0</v>
      </c>
      <c r="C378">
        <v>252.24495450000001</v>
      </c>
      <c r="D378" s="2">
        <f t="shared" si="31"/>
        <v>1.7706047316251416E-2</v>
      </c>
      <c r="E378" s="2">
        <f t="shared" ca="1" si="32"/>
        <v>1.0549606760066974</v>
      </c>
      <c r="F378">
        <f t="shared" ca="1" si="33"/>
        <v>1.0385990842119266</v>
      </c>
      <c r="G378" s="3">
        <f t="shared" ca="1" si="36"/>
        <v>1.8714550469951432</v>
      </c>
      <c r="H378">
        <f t="shared" ca="1" si="34"/>
        <v>0.55496875860284656</v>
      </c>
      <c r="I378">
        <f t="shared" ca="1" si="35"/>
        <v>-7.6036175987036811E-2</v>
      </c>
    </row>
    <row r="379" spans="1:9" x14ac:dyDescent="0.3">
      <c r="A379" s="1">
        <v>40725</v>
      </c>
      <c r="B379" t="s">
        <v>0</v>
      </c>
      <c r="C379">
        <v>259.5426205</v>
      </c>
      <c r="D379" s="2">
        <f t="shared" si="31"/>
        <v>2.8930870052348231E-2</v>
      </c>
      <c r="E379" s="2">
        <f t="shared" ca="1" si="32"/>
        <v>0.22977148848713946</v>
      </c>
      <c r="F379">
        <f t="shared" ca="1" si="33"/>
        <v>0.21954741243956541</v>
      </c>
      <c r="G379" s="3">
        <f t="shared" ca="1" si="36"/>
        <v>1.866167612020126</v>
      </c>
      <c r="H379">
        <f t="shared" ca="1" si="34"/>
        <v>0.11764613801324383</v>
      </c>
      <c r="I379">
        <f t="shared" ca="1" si="35"/>
        <v>3.0150094732159198</v>
      </c>
    </row>
    <row r="380" spans="1:9" x14ac:dyDescent="0.3">
      <c r="A380" s="1">
        <v>40729</v>
      </c>
      <c r="B380" t="s">
        <v>0</v>
      </c>
      <c r="C380">
        <v>265.22631519999999</v>
      </c>
      <c r="D380" s="2">
        <f t="shared" si="31"/>
        <v>2.1898887701181969E-2</v>
      </c>
      <c r="E380" s="2">
        <f t="shared" ca="1" si="32"/>
        <v>-2.7474831774910733</v>
      </c>
      <c r="F380">
        <f t="shared" ca="1" si="33"/>
        <v>-2.7671348602993593</v>
      </c>
      <c r="G380" s="3">
        <f t="shared" ca="1" si="36"/>
        <v>1.8590456483159947</v>
      </c>
      <c r="H380">
        <f t="shared" ca="1" si="34"/>
        <v>-1.4884706369668499</v>
      </c>
      <c r="I380">
        <f t="shared" ca="1" si="35"/>
        <v>-2.0356875070143521</v>
      </c>
    </row>
    <row r="381" spans="1:9" x14ac:dyDescent="0.3">
      <c r="A381" s="1">
        <v>40730</v>
      </c>
      <c r="B381" t="s">
        <v>0</v>
      </c>
      <c r="C381">
        <v>266.68087709999998</v>
      </c>
      <c r="D381" s="2">
        <f t="shared" si="31"/>
        <v>5.4842291908445877E-3</v>
      </c>
      <c r="E381" s="2">
        <f t="shared" ca="1" si="32"/>
        <v>0.45259790279229933</v>
      </c>
      <c r="F381">
        <f t="shared" ca="1" si="33"/>
        <v>0.42805325404958522</v>
      </c>
      <c r="G381" s="3">
        <f t="shared" ca="1" si="36"/>
        <v>1.8662390221880008</v>
      </c>
      <c r="H381">
        <f t="shared" ca="1" si="34"/>
        <v>0.22936679008443972</v>
      </c>
      <c r="I381">
        <f t="shared" ca="1" si="35"/>
        <v>1.6968511835855768</v>
      </c>
    </row>
    <row r="382" spans="1:9" x14ac:dyDescent="0.3">
      <c r="A382" s="1">
        <v>40731</v>
      </c>
      <c r="B382" t="s">
        <v>0</v>
      </c>
      <c r="C382">
        <v>272.2798856</v>
      </c>
      <c r="D382" s="2">
        <f t="shared" si="31"/>
        <v>2.0995163061131337E-2</v>
      </c>
      <c r="E382" s="2">
        <f t="shared" ca="1" si="32"/>
        <v>-5.1249443889037245</v>
      </c>
      <c r="F382">
        <f t="shared" ca="1" si="33"/>
        <v>-5.1402159615716316</v>
      </c>
      <c r="G382" s="3">
        <f t="shared" ca="1" si="36"/>
        <v>1.8593668446227494</v>
      </c>
      <c r="H382">
        <f t="shared" ca="1" si="34"/>
        <v>-2.7644980206230043</v>
      </c>
      <c r="I382">
        <f t="shared" ca="1" si="35"/>
        <v>-3.2742068719711215</v>
      </c>
    </row>
    <row r="383" spans="1:9" x14ac:dyDescent="0.3">
      <c r="A383" s="1">
        <v>40732</v>
      </c>
      <c r="B383" t="s">
        <v>0</v>
      </c>
      <c r="C383">
        <v>265.00216330000001</v>
      </c>
      <c r="D383" s="2">
        <f t="shared" si="31"/>
        <v>-2.6728828256860387E-2</v>
      </c>
      <c r="E383" s="2">
        <f t="shared" ca="1" si="32"/>
        <v>3.207866500259442</v>
      </c>
      <c r="F383">
        <f t="shared" ca="1" si="33"/>
        <v>3.1981914568090692</v>
      </c>
      <c r="G383" s="3">
        <f t="shared" ca="1" si="36"/>
        <v>1.9011762916764647</v>
      </c>
      <c r="H383">
        <f t="shared" ca="1" si="34"/>
        <v>1.6822171993260506</v>
      </c>
      <c r="I383">
        <f t="shared" ca="1" si="35"/>
        <v>-2.3252408080889504</v>
      </c>
    </row>
    <row r="384" spans="1:9" x14ac:dyDescent="0.3">
      <c r="A384" s="1">
        <v>40735</v>
      </c>
      <c r="B384" t="s">
        <v>0</v>
      </c>
      <c r="C384">
        <v>262.65596799999997</v>
      </c>
      <c r="D384" s="2">
        <f t="shared" si="31"/>
        <v>-8.8534948952246287E-3</v>
      </c>
      <c r="E384" s="2">
        <f t="shared" ca="1" si="32"/>
        <v>-3.0934363406794518</v>
      </c>
      <c r="F384">
        <f t="shared" ca="1" si="33"/>
        <v>-3.0985403465326993</v>
      </c>
      <c r="G384" s="3">
        <f t="shared" ca="1" si="36"/>
        <v>1.9114426696576678</v>
      </c>
      <c r="H384">
        <f t="shared" ca="1" si="34"/>
        <v>-1.6210480155743494</v>
      </c>
      <c r="I384">
        <f t="shared" ca="1" si="35"/>
        <v>-2.2618704535217411</v>
      </c>
    </row>
    <row r="385" spans="1:9" x14ac:dyDescent="0.3">
      <c r="A385" s="1">
        <v>40736</v>
      </c>
      <c r="B385" t="s">
        <v>0</v>
      </c>
      <c r="C385">
        <v>266.00839070000001</v>
      </c>
      <c r="D385" s="2">
        <f t="shared" si="31"/>
        <v>1.2763550455476549E-2</v>
      </c>
      <c r="E385" s="2">
        <f t="shared" ca="1" si="32"/>
        <v>0.7305776831373274</v>
      </c>
      <c r="F385">
        <f t="shared" ca="1" si="33"/>
        <v>0.74986144243250907</v>
      </c>
      <c r="G385" s="3">
        <f t="shared" ca="1" si="36"/>
        <v>1.9202342577049036</v>
      </c>
      <c r="H385">
        <f t="shared" ca="1" si="34"/>
        <v>0.39050518936619538</v>
      </c>
      <c r="I385">
        <f t="shared" ca="1" si="35"/>
        <v>0.57544394423234813</v>
      </c>
    </row>
    <row r="386" spans="1:9" x14ac:dyDescent="0.3">
      <c r="A386" s="1">
        <v>40737</v>
      </c>
      <c r="B386" t="s">
        <v>0</v>
      </c>
      <c r="C386">
        <v>268.12545999999998</v>
      </c>
      <c r="D386" s="2">
        <f t="shared" si="31"/>
        <v>7.9586560951288386E-3</v>
      </c>
      <c r="E386" s="2">
        <f t="shared" ca="1" si="32"/>
        <v>0.20135439073657094</v>
      </c>
      <c r="F386">
        <f t="shared" ca="1" si="33"/>
        <v>0.20306178312637774</v>
      </c>
      <c r="G386" s="3">
        <f t="shared" ca="1" si="36"/>
        <v>1.9133666741893556</v>
      </c>
      <c r="H386">
        <f t="shared" ca="1" si="34"/>
        <v>0.1061280024710422</v>
      </c>
      <c r="I386">
        <f t="shared" ca="1" si="35"/>
        <v>3.1869538790155421</v>
      </c>
    </row>
    <row r="387" spans="1:9" x14ac:dyDescent="0.3">
      <c r="A387" s="1">
        <v>40738</v>
      </c>
      <c r="B387" t="s">
        <v>0</v>
      </c>
      <c r="C387">
        <v>263.48284310000003</v>
      </c>
      <c r="D387" s="2">
        <f t="shared" si="31"/>
        <v>-1.7315091599283228E-2</v>
      </c>
      <c r="E387" s="2">
        <f t="shared" ca="1" si="32"/>
        <v>-3.1697614080521133</v>
      </c>
      <c r="F387">
        <f t="shared" ca="1" si="33"/>
        <v>-3.1800822249726832</v>
      </c>
      <c r="G387" s="3">
        <f t="shared" ca="1" si="36"/>
        <v>1.9056894138909313</v>
      </c>
      <c r="H387">
        <f t="shared" ca="1" si="34"/>
        <v>-1.6687305926099296</v>
      </c>
      <c r="I387">
        <f t="shared" ca="1" si="35"/>
        <v>-2.3138437531979803</v>
      </c>
    </row>
    <row r="388" spans="1:9" x14ac:dyDescent="0.3">
      <c r="A388" s="1">
        <v>40739</v>
      </c>
      <c r="B388" t="s">
        <v>0</v>
      </c>
      <c r="C388">
        <v>297.69469370000002</v>
      </c>
      <c r="D388" s="2">
        <f t="shared" ref="D388:D451" si="37">(C388-C387)/C387</f>
        <v>0.12984469955417749</v>
      </c>
      <c r="E388" s="2">
        <f t="shared" ca="1" si="32"/>
        <v>1.4313628045851237</v>
      </c>
      <c r="F388">
        <f t="shared" ca="1" si="33"/>
        <v>1.4315697376314884</v>
      </c>
      <c r="G388" s="3">
        <f t="shared" ca="1" si="36"/>
        <v>1.9155795400889739</v>
      </c>
      <c r="H388">
        <f t="shared" ca="1" si="34"/>
        <v>0.74732983291573241</v>
      </c>
      <c r="I388">
        <f t="shared" ca="1" si="35"/>
        <v>-0.72576977950012656</v>
      </c>
    </row>
    <row r="389" spans="1:9" x14ac:dyDescent="0.3">
      <c r="A389" s="1">
        <v>40742</v>
      </c>
      <c r="B389" t="s">
        <v>0</v>
      </c>
      <c r="C389">
        <v>296.35966969999998</v>
      </c>
      <c r="D389" s="2">
        <f t="shared" si="37"/>
        <v>-4.4845408005336996E-3</v>
      </c>
      <c r="E389" s="2">
        <f t="shared" ca="1" si="32"/>
        <v>-0.29063167520298894</v>
      </c>
      <c r="F389">
        <f t="shared" ca="1" si="33"/>
        <v>-0.31856482689040805</v>
      </c>
      <c r="G389" s="3">
        <f t="shared" ca="1" si="36"/>
        <v>1.911321427292179</v>
      </c>
      <c r="H389">
        <f t="shared" ca="1" si="34"/>
        <v>-0.16667255561599992</v>
      </c>
      <c r="I389">
        <f t="shared" ca="1" si="35"/>
        <v>2.2876604020303533</v>
      </c>
    </row>
    <row r="390" spans="1:9" x14ac:dyDescent="0.3">
      <c r="A390" s="1">
        <v>40743</v>
      </c>
      <c r="B390" t="s">
        <v>0</v>
      </c>
      <c r="C390">
        <v>300.15047779999998</v>
      </c>
      <c r="D390" s="2">
        <f t="shared" si="37"/>
        <v>1.2791241479778153E-2</v>
      </c>
      <c r="E390" s="2">
        <f t="shared" ref="E390:E453" ca="1" si="38">$N$9*D389+$N$10*D388+F390</f>
        <v>-0.58354794673005883</v>
      </c>
      <c r="F390">
        <f t="shared" ref="F390:F453" ca="1" si="39">G390*H390</f>
        <v>-0.66306467727434704</v>
      </c>
      <c r="G390" s="3">
        <f t="shared" ca="1" si="36"/>
        <v>1.9037716000869309</v>
      </c>
      <c r="H390">
        <f t="shared" ref="H390:H453" ca="1" si="40">_xlfn.NORM.S.INV(RAND())</f>
        <v>-0.34829003502524664</v>
      </c>
      <c r="I390">
        <f t="shared" ref="I390:I453" ca="1" si="41">-LN(F390^2)-(D390^2)/(F390^2)</f>
        <v>0.82139333599017217</v>
      </c>
    </row>
    <row r="391" spans="1:9" x14ac:dyDescent="0.3">
      <c r="A391" s="1">
        <v>40744</v>
      </c>
      <c r="B391" t="s">
        <v>0</v>
      </c>
      <c r="C391">
        <v>296.56392410000001</v>
      </c>
      <c r="D391" s="2">
        <f t="shared" si="37"/>
        <v>-1.194918537624253E-2</v>
      </c>
      <c r="E391" s="2">
        <f t="shared" ca="1" si="38"/>
        <v>-2.6696991279290176</v>
      </c>
      <c r="F391">
        <f t="shared" ca="1" si="39"/>
        <v>-2.6707205253328903</v>
      </c>
      <c r="G391" s="3">
        <f t="shared" ref="G391:G454" ca="1" si="42">SQRT($N$6+$N$7*(H390^2)+$N$8*(G390^2))</f>
        <v>1.8969004811445733</v>
      </c>
      <c r="H391">
        <f t="shared" ca="1" si="40"/>
        <v>-1.4079391891563022</v>
      </c>
      <c r="I391">
        <f t="shared" ca="1" si="41"/>
        <v>-1.964716609318675</v>
      </c>
    </row>
    <row r="392" spans="1:9" x14ac:dyDescent="0.3">
      <c r="A392" s="1">
        <v>40745</v>
      </c>
      <c r="B392" t="s">
        <v>0</v>
      </c>
      <c r="C392">
        <v>302.36218229999997</v>
      </c>
      <c r="D392" s="2">
        <f t="shared" si="37"/>
        <v>1.9551461687716331E-2</v>
      </c>
      <c r="E392" s="2">
        <f t="shared" ca="1" si="38"/>
        <v>-0.93849974873997255</v>
      </c>
      <c r="F392">
        <f t="shared" ca="1" si="39"/>
        <v>-0.94290197844703327</v>
      </c>
      <c r="G392" s="3">
        <f t="shared" ca="1" si="42"/>
        <v>1.9019065545515745</v>
      </c>
      <c r="H392">
        <f t="shared" ca="1" si="40"/>
        <v>-0.49576672218228285</v>
      </c>
      <c r="I392">
        <f t="shared" ca="1" si="41"/>
        <v>0.11715593916922257</v>
      </c>
    </row>
    <row r="393" spans="1:9" x14ac:dyDescent="0.3">
      <c r="A393" s="1">
        <v>40746</v>
      </c>
      <c r="B393" t="s">
        <v>0</v>
      </c>
      <c r="C393">
        <v>307.96122120000001</v>
      </c>
      <c r="D393" s="2">
        <f t="shared" si="37"/>
        <v>1.8517656068657233E-2</v>
      </c>
      <c r="E393" s="2">
        <f t="shared" ca="1" si="38"/>
        <v>-1.8808788658058884</v>
      </c>
      <c r="F393">
        <f t="shared" ca="1" si="39"/>
        <v>-1.8792677177194521</v>
      </c>
      <c r="G393" s="3">
        <f t="shared" ca="1" si="42"/>
        <v>1.8958465882433857</v>
      </c>
      <c r="H393">
        <f t="shared" ca="1" si="40"/>
        <v>-0.99125516240251543</v>
      </c>
      <c r="I393">
        <f t="shared" ca="1" si="41"/>
        <v>-1.2618614727423871</v>
      </c>
    </row>
    <row r="394" spans="1:9" x14ac:dyDescent="0.3">
      <c r="A394" s="1">
        <v>40749</v>
      </c>
      <c r="B394" t="s">
        <v>0</v>
      </c>
      <c r="C394">
        <v>308.33481840000002</v>
      </c>
      <c r="D394" s="2">
        <f t="shared" si="37"/>
        <v>1.2131306615302058E-3</v>
      </c>
      <c r="E394" s="2">
        <f t="shared" ca="1" si="38"/>
        <v>0.43344012843271912</v>
      </c>
      <c r="F394">
        <f t="shared" ca="1" si="39"/>
        <v>0.41574417272449815</v>
      </c>
      <c r="G394" s="3">
        <f t="shared" ca="1" si="42"/>
        <v>1.8945401690484993</v>
      </c>
      <c r="H394">
        <f t="shared" ca="1" si="40"/>
        <v>0.21944331374789408</v>
      </c>
      <c r="I394">
        <f t="shared" ca="1" si="41"/>
        <v>1.7553618400368622</v>
      </c>
    </row>
    <row r="395" spans="1:9" x14ac:dyDescent="0.3">
      <c r="A395" s="1">
        <v>40750</v>
      </c>
      <c r="B395" t="s">
        <v>0</v>
      </c>
      <c r="C395">
        <v>310.09821820000002</v>
      </c>
      <c r="D395" s="2">
        <f t="shared" si="37"/>
        <v>5.7191069407943381E-3</v>
      </c>
      <c r="E395" s="2">
        <f t="shared" ca="1" si="38"/>
        <v>0.96874603457212838</v>
      </c>
      <c r="F395">
        <f t="shared" ca="1" si="39"/>
        <v>0.95685343765065867</v>
      </c>
      <c r="G395" s="3">
        <f t="shared" ca="1" si="42"/>
        <v>1.8873116550160209</v>
      </c>
      <c r="H395">
        <f t="shared" ca="1" si="40"/>
        <v>0.50699280911426159</v>
      </c>
      <c r="I395">
        <f t="shared" ca="1" si="41"/>
        <v>8.8174369462559327E-2</v>
      </c>
    </row>
    <row r="396" spans="1:9" x14ac:dyDescent="0.3">
      <c r="A396" s="1">
        <v>40751</v>
      </c>
      <c r="B396" t="s">
        <v>0</v>
      </c>
      <c r="C396">
        <v>302.47677579999998</v>
      </c>
      <c r="D396" s="2">
        <f t="shared" si="37"/>
        <v>-2.4577511100320262E-2</v>
      </c>
      <c r="E396" s="2">
        <f t="shared" ca="1" si="38"/>
        <v>0.41070967275810483</v>
      </c>
      <c r="F396">
        <f t="shared" ca="1" si="39"/>
        <v>0.40824902026066867</v>
      </c>
      <c r="G396" s="3">
        <f t="shared" ca="1" si="42"/>
        <v>1.8815012753252391</v>
      </c>
      <c r="H396">
        <f t="shared" ca="1" si="40"/>
        <v>0.21698046427850448</v>
      </c>
      <c r="I396">
        <f t="shared" ca="1" si="41"/>
        <v>1.7881315826182185</v>
      </c>
    </row>
    <row r="397" spans="1:9" x14ac:dyDescent="0.3">
      <c r="A397" s="1">
        <v>40752</v>
      </c>
      <c r="B397" t="s">
        <v>0</v>
      </c>
      <c r="C397">
        <v>304.32980670000001</v>
      </c>
      <c r="D397" s="2">
        <f t="shared" si="37"/>
        <v>6.1261923170764692E-3</v>
      </c>
      <c r="E397" s="2">
        <f t="shared" ca="1" si="38"/>
        <v>2.0816883420625016</v>
      </c>
      <c r="F397">
        <f t="shared" ca="1" si="39"/>
        <v>2.0854552374816877</v>
      </c>
      <c r="G397" s="3">
        <f t="shared" ca="1" si="42"/>
        <v>1.8744163672110341</v>
      </c>
      <c r="H397">
        <f t="shared" ca="1" si="40"/>
        <v>1.1125891098489824</v>
      </c>
      <c r="I397">
        <f t="shared" ca="1" si="41"/>
        <v>-1.469982970854204</v>
      </c>
    </row>
    <row r="398" spans="1:9" x14ac:dyDescent="0.3">
      <c r="A398" s="1">
        <v>40753</v>
      </c>
      <c r="B398" t="s">
        <v>0</v>
      </c>
      <c r="C398">
        <v>300.7183503</v>
      </c>
      <c r="D398" s="2">
        <f t="shared" si="37"/>
        <v>-1.1866916484983291E-2</v>
      </c>
      <c r="E398" s="2">
        <f t="shared" ca="1" si="38"/>
        <v>-3.2593061647089674</v>
      </c>
      <c r="F398">
        <f t="shared" ca="1" si="39"/>
        <v>-3.2458284485399918</v>
      </c>
      <c r="G398" s="3">
        <f t="shared" ca="1" si="42"/>
        <v>1.8750615871599947</v>
      </c>
      <c r="H398">
        <f t="shared" ca="1" si="40"/>
        <v>-1.7310516469254684</v>
      </c>
      <c r="I398">
        <f t="shared" ca="1" si="41"/>
        <v>-2.3547546018834851</v>
      </c>
    </row>
    <row r="399" spans="1:9" x14ac:dyDescent="0.3">
      <c r="A399" s="1">
        <v>40756</v>
      </c>
      <c r="B399" t="s">
        <v>0</v>
      </c>
      <c r="C399">
        <v>302.25259360000001</v>
      </c>
      <c r="D399" s="2">
        <f t="shared" si="37"/>
        <v>5.1019277622048531E-3</v>
      </c>
      <c r="E399" s="2">
        <f t="shared" ca="1" si="38"/>
        <v>1.6963695384906019</v>
      </c>
      <c r="F399">
        <f t="shared" ca="1" si="39"/>
        <v>1.6960930831470367</v>
      </c>
      <c r="G399" s="3">
        <f t="shared" ca="1" si="42"/>
        <v>1.8869318823928485</v>
      </c>
      <c r="H399">
        <f t="shared" ca="1" si="40"/>
        <v>0.89886291019482589</v>
      </c>
      <c r="I399">
        <f t="shared" ca="1" si="41"/>
        <v>-1.0566638879362962</v>
      </c>
    </row>
    <row r="400" spans="1:9" x14ac:dyDescent="0.3">
      <c r="A400" s="1">
        <v>40757</v>
      </c>
      <c r="B400" t="s">
        <v>0</v>
      </c>
      <c r="C400">
        <v>295.09440869999997</v>
      </c>
      <c r="D400" s="2">
        <f t="shared" si="37"/>
        <v>-2.3682790657780603E-2</v>
      </c>
      <c r="E400" s="2">
        <f t="shared" ca="1" si="38"/>
        <v>-1.7362636964283127</v>
      </c>
      <c r="F400">
        <f t="shared" ca="1" si="39"/>
        <v>-1.7303954252600102</v>
      </c>
      <c r="G400" s="3">
        <f t="shared" ca="1" si="42"/>
        <v>1.8846426613829708</v>
      </c>
      <c r="H400">
        <f t="shared" ca="1" si="40"/>
        <v>-0.91815571233552984</v>
      </c>
      <c r="I400">
        <f t="shared" ca="1" si="41"/>
        <v>-1.0968872198814434</v>
      </c>
    </row>
    <row r="401" spans="1:9" x14ac:dyDescent="0.3">
      <c r="A401" s="1">
        <v>40758</v>
      </c>
      <c r="B401" t="s">
        <v>0</v>
      </c>
      <c r="C401">
        <v>299.4630684</v>
      </c>
      <c r="D401" s="2">
        <f t="shared" si="37"/>
        <v>1.4804278126602214E-2</v>
      </c>
      <c r="E401" s="2">
        <f t="shared" ca="1" si="38"/>
        <v>0.82365637776132949</v>
      </c>
      <c r="F401">
        <f t="shared" ca="1" si="39"/>
        <v>0.82754081390199252</v>
      </c>
      <c r="G401" s="3">
        <f t="shared" ca="1" si="42"/>
        <v>1.8826095222343147</v>
      </c>
      <c r="H401">
        <f t="shared" ca="1" si="40"/>
        <v>0.43957114002050318</v>
      </c>
      <c r="I401">
        <f t="shared" ca="1" si="41"/>
        <v>0.37827366838573639</v>
      </c>
    </row>
    <row r="402" spans="1:9" x14ac:dyDescent="0.3">
      <c r="A402" s="1">
        <v>40759</v>
      </c>
      <c r="B402" t="s">
        <v>0</v>
      </c>
      <c r="C402">
        <v>287.68219499999998</v>
      </c>
      <c r="D402" s="2">
        <f t="shared" si="37"/>
        <v>-3.9339987608301749E-2</v>
      </c>
      <c r="E402" s="2">
        <f t="shared" ca="1" si="38"/>
        <v>-1.6205665606722277</v>
      </c>
      <c r="F402">
        <f t="shared" ca="1" si="39"/>
        <v>-1.6102334892468064</v>
      </c>
      <c r="G402" s="3">
        <f t="shared" ca="1" si="42"/>
        <v>1.8764480670660664</v>
      </c>
      <c r="H402">
        <f t="shared" ca="1" si="40"/>
        <v>-0.8581284595658959</v>
      </c>
      <c r="I402">
        <f t="shared" ca="1" si="41"/>
        <v>-0.95335527080317362</v>
      </c>
    </row>
    <row r="403" spans="1:9" x14ac:dyDescent="0.3">
      <c r="A403" s="1">
        <v>40760</v>
      </c>
      <c r="B403" t="s">
        <v>0</v>
      </c>
      <c r="C403">
        <v>288.43936789999998</v>
      </c>
      <c r="D403" s="2">
        <f t="shared" si="37"/>
        <v>2.6319769285686957E-3</v>
      </c>
      <c r="E403" s="2">
        <f t="shared" ca="1" si="38"/>
        <v>-2.8675712932166899</v>
      </c>
      <c r="F403">
        <f t="shared" ca="1" si="39"/>
        <v>-2.8650600435813041</v>
      </c>
      <c r="G403" s="3">
        <f t="shared" ca="1" si="42"/>
        <v>1.8738479646202197</v>
      </c>
      <c r="H403">
        <f t="shared" ca="1" si="40"/>
        <v>-1.5289714521540585</v>
      </c>
      <c r="I403">
        <f t="shared" ca="1" si="41"/>
        <v>-2.1051794590452944</v>
      </c>
    </row>
    <row r="404" spans="1:9" x14ac:dyDescent="0.3">
      <c r="A404" s="1">
        <v>40763</v>
      </c>
      <c r="B404" t="s">
        <v>0</v>
      </c>
      <c r="C404">
        <v>271.99097560000001</v>
      </c>
      <c r="D404" s="2">
        <f t="shared" si="37"/>
        <v>-5.7025476167672493E-2</v>
      </c>
      <c r="E404" s="2">
        <f t="shared" ca="1" si="38"/>
        <v>-1.7065818139000788</v>
      </c>
      <c r="F404">
        <f t="shared" ca="1" si="39"/>
        <v>-1.6828696980888094</v>
      </c>
      <c r="G404" s="3">
        <f t="shared" ca="1" si="42"/>
        <v>1.8815409653432165</v>
      </c>
      <c r="H404">
        <f t="shared" ca="1" si="40"/>
        <v>-0.89441034188794977</v>
      </c>
      <c r="I404">
        <f t="shared" ca="1" si="41"/>
        <v>-1.0421492306807516</v>
      </c>
    </row>
    <row r="405" spans="1:9" x14ac:dyDescent="0.3">
      <c r="A405" s="1">
        <v>40764</v>
      </c>
      <c r="B405" t="s">
        <v>0</v>
      </c>
      <c r="C405">
        <v>285.63485839999998</v>
      </c>
      <c r="D405" s="2">
        <f t="shared" si="37"/>
        <v>5.016299812853045E-2</v>
      </c>
      <c r="E405" s="2">
        <f t="shared" ca="1" si="38"/>
        <v>-1.8736833122470407</v>
      </c>
      <c r="F405">
        <f t="shared" ca="1" si="39"/>
        <v>-1.8583192093642715</v>
      </c>
      <c r="G405" s="3">
        <f t="shared" ca="1" si="42"/>
        <v>1.8792767429433221</v>
      </c>
      <c r="H405">
        <f t="shared" ca="1" si="40"/>
        <v>-0.9888480854894065</v>
      </c>
      <c r="I405">
        <f t="shared" ca="1" si="41"/>
        <v>-1.24007351897809</v>
      </c>
    </row>
    <row r="406" spans="1:9" x14ac:dyDescent="0.3">
      <c r="A406" s="1">
        <v>40765</v>
      </c>
      <c r="B406" t="s">
        <v>0</v>
      </c>
      <c r="C406">
        <v>273.48038839999998</v>
      </c>
      <c r="D406" s="2">
        <f t="shared" si="37"/>
        <v>-4.2552474400652511E-2</v>
      </c>
      <c r="E406" s="2">
        <f t="shared" ca="1" si="38"/>
        <v>-0.52119138691577482</v>
      </c>
      <c r="F406">
        <f t="shared" ca="1" si="39"/>
        <v>-0.50063868365748698</v>
      </c>
      <c r="G406" s="3">
        <f t="shared" ca="1" si="42"/>
        <v>1.8781828829473113</v>
      </c>
      <c r="H406">
        <f t="shared" ca="1" si="40"/>
        <v>-0.26655481114377266</v>
      </c>
      <c r="I406">
        <f t="shared" ca="1" si="41"/>
        <v>1.3765168726306942</v>
      </c>
    </row>
    <row r="407" spans="1:9" x14ac:dyDescent="0.3">
      <c r="A407" s="1">
        <v>40766</v>
      </c>
      <c r="B407" t="s">
        <v>0</v>
      </c>
      <c r="C407">
        <v>280.01592210000001</v>
      </c>
      <c r="D407" s="2">
        <f t="shared" si="37"/>
        <v>2.3897632068742632E-2</v>
      </c>
      <c r="E407" s="2">
        <f t="shared" ca="1" si="38"/>
        <v>-0.99188864985331415</v>
      </c>
      <c r="F407">
        <f t="shared" ca="1" si="39"/>
        <v>-1.0104373058587179</v>
      </c>
      <c r="G407" s="3">
        <f t="shared" ca="1" si="42"/>
        <v>1.8712903377363646</v>
      </c>
      <c r="H407">
        <f t="shared" ca="1" si="40"/>
        <v>-0.53996821630629976</v>
      </c>
      <c r="I407">
        <f t="shared" ca="1" si="41"/>
        <v>-2.1325785959184312E-2</v>
      </c>
    </row>
    <row r="408" spans="1:9" x14ac:dyDescent="0.3">
      <c r="A408" s="1">
        <v>40767</v>
      </c>
      <c r="B408" t="s">
        <v>0</v>
      </c>
      <c r="C408">
        <v>280.83284850000001</v>
      </c>
      <c r="D408" s="2">
        <f t="shared" si="37"/>
        <v>2.917428387190986E-3</v>
      </c>
      <c r="E408" s="2">
        <f t="shared" ca="1" si="38"/>
        <v>0.69968639908697206</v>
      </c>
      <c r="F408">
        <f t="shared" ca="1" si="39"/>
        <v>0.71905823638162769</v>
      </c>
      <c r="G408" s="3">
        <f t="shared" ca="1" si="42"/>
        <v>1.8658991704369678</v>
      </c>
      <c r="H408">
        <f t="shared" ca="1" si="40"/>
        <v>0.38536821698314716</v>
      </c>
      <c r="I408">
        <f t="shared" ca="1" si="41"/>
        <v>0.65960939475674674</v>
      </c>
    </row>
    <row r="409" spans="1:9" x14ac:dyDescent="0.3">
      <c r="A409" s="1">
        <v>40770</v>
      </c>
      <c r="B409" t="s">
        <v>0</v>
      </c>
      <c r="C409">
        <v>277.57506100000001</v>
      </c>
      <c r="D409" s="2">
        <f t="shared" si="37"/>
        <v>-1.1600450294189877E-2</v>
      </c>
      <c r="E409" s="2">
        <f t="shared" ca="1" si="38"/>
        <v>0.20493689323777856</v>
      </c>
      <c r="F409">
        <f t="shared" ca="1" si="39"/>
        <v>0.18918604034507019</v>
      </c>
      <c r="G409" s="3">
        <f t="shared" ca="1" si="42"/>
        <v>1.8596508347720524</v>
      </c>
      <c r="H409">
        <f t="shared" ca="1" si="40"/>
        <v>0.10173202238164228</v>
      </c>
      <c r="I409">
        <f t="shared" ca="1" si="41"/>
        <v>3.3262889565693992</v>
      </c>
    </row>
    <row r="410" spans="1:9" x14ac:dyDescent="0.3">
      <c r="A410" s="1">
        <v>40771</v>
      </c>
      <c r="B410" t="s">
        <v>0</v>
      </c>
      <c r="C410">
        <v>268.4940823</v>
      </c>
      <c r="D410" s="2">
        <f t="shared" si="37"/>
        <v>-3.2715398376513383E-2</v>
      </c>
      <c r="E410" s="2">
        <f t="shared" ca="1" si="38"/>
        <v>-0.33223279786921911</v>
      </c>
      <c r="F410">
        <f t="shared" ca="1" si="39"/>
        <v>-0.33059061751907964</v>
      </c>
      <c r="G410" s="3">
        <f t="shared" ca="1" si="42"/>
        <v>1.8525813489391438</v>
      </c>
      <c r="H410">
        <f t="shared" ca="1" si="40"/>
        <v>-0.17844863746921991</v>
      </c>
      <c r="I410">
        <f t="shared" ca="1" si="41"/>
        <v>2.2039557763939461</v>
      </c>
    </row>
    <row r="411" spans="1:9" x14ac:dyDescent="0.3">
      <c r="A411" s="1">
        <v>40772</v>
      </c>
      <c r="B411" t="s">
        <v>0</v>
      </c>
      <c r="C411">
        <v>265.57998400000002</v>
      </c>
      <c r="D411" s="2">
        <f t="shared" si="37"/>
        <v>-1.0853491723307072E-2</v>
      </c>
      <c r="E411" s="2">
        <f t="shared" ca="1" si="38"/>
        <v>-2.361333419239283</v>
      </c>
      <c r="F411">
        <f t="shared" ca="1" si="39"/>
        <v>-2.3443552559791105</v>
      </c>
      <c r="G411" s="3">
        <f t="shared" ca="1" si="42"/>
        <v>1.8457334421940912</v>
      </c>
      <c r="H411">
        <f t="shared" ca="1" si="40"/>
        <v>-1.2701483336576973</v>
      </c>
      <c r="I411">
        <f t="shared" ca="1" si="41"/>
        <v>-1.7040422733490286</v>
      </c>
    </row>
    <row r="412" spans="1:9" x14ac:dyDescent="0.3">
      <c r="A412" s="1">
        <v>40773</v>
      </c>
      <c r="B412" t="s">
        <v>0</v>
      </c>
      <c r="C412">
        <v>251.49776109999999</v>
      </c>
      <c r="D412" s="2">
        <f t="shared" si="37"/>
        <v>-5.3024413541647143E-2</v>
      </c>
      <c r="E412" s="2">
        <f t="shared" ca="1" si="38"/>
        <v>0.46813427225668569</v>
      </c>
      <c r="F412">
        <f t="shared" ca="1" si="39"/>
        <v>0.4917421789313588</v>
      </c>
      <c r="G412" s="3">
        <f t="shared" ca="1" si="42"/>
        <v>1.8492718750127257</v>
      </c>
      <c r="H412">
        <f t="shared" ca="1" si="40"/>
        <v>0.26591124083795137</v>
      </c>
      <c r="I412">
        <f t="shared" ca="1" si="41"/>
        <v>1.407974207764223</v>
      </c>
    </row>
    <row r="413" spans="1:9" x14ac:dyDescent="0.3">
      <c r="A413" s="1">
        <v>40774</v>
      </c>
      <c r="B413" t="s">
        <v>0</v>
      </c>
      <c r="C413">
        <v>244.54381520000001</v>
      </c>
      <c r="D413" s="2">
        <f t="shared" si="37"/>
        <v>-2.7650130440862918E-2</v>
      </c>
      <c r="E413" s="2">
        <f t="shared" ca="1" si="38"/>
        <v>1.0977929842206773</v>
      </c>
      <c r="F413">
        <f t="shared" ca="1" si="39"/>
        <v>1.1203614652994729</v>
      </c>
      <c r="G413" s="3">
        <f t="shared" ca="1" si="42"/>
        <v>1.8427159952611327</v>
      </c>
      <c r="H413">
        <f t="shared" ca="1" si="40"/>
        <v>0.6079946493006404</v>
      </c>
      <c r="I413">
        <f t="shared" ca="1" si="41"/>
        <v>-0.22791182542115995</v>
      </c>
    </row>
    <row r="414" spans="1:9" x14ac:dyDescent="0.3">
      <c r="A414" s="1">
        <v>40777</v>
      </c>
      <c r="B414" t="s">
        <v>0</v>
      </c>
      <c r="C414">
        <v>248.15528710000001</v>
      </c>
      <c r="D414" s="2">
        <f t="shared" si="37"/>
        <v>1.4768199707060094E-2</v>
      </c>
      <c r="E414" s="2">
        <f t="shared" ca="1" si="38"/>
        <v>-2.6717868123028996</v>
      </c>
      <c r="F414">
        <f t="shared" ca="1" si="39"/>
        <v>-2.6305243717679789</v>
      </c>
      <c r="G414" s="3">
        <f t="shared" ca="1" si="42"/>
        <v>1.8381931048851525</v>
      </c>
      <c r="H414">
        <f t="shared" ca="1" si="40"/>
        <v>-1.4310381019149401</v>
      </c>
      <c r="I414">
        <f t="shared" ca="1" si="41"/>
        <v>-1.9343979332891634</v>
      </c>
    </row>
    <row r="415" spans="1:9" x14ac:dyDescent="0.3">
      <c r="A415" s="1">
        <v>40778</v>
      </c>
      <c r="B415" t="s">
        <v>0</v>
      </c>
      <c r="C415">
        <v>258.44172750000001</v>
      </c>
      <c r="D415" s="2">
        <f t="shared" si="37"/>
        <v>4.1451627004242875E-2</v>
      </c>
      <c r="E415" s="2">
        <f t="shared" ca="1" si="38"/>
        <v>-0.58560019549813758</v>
      </c>
      <c r="F415">
        <f t="shared" ca="1" si="39"/>
        <v>-0.57278591735323237</v>
      </c>
      <c r="G415" s="3">
        <f t="shared" ca="1" si="42"/>
        <v>1.844694944049672</v>
      </c>
      <c r="H415">
        <f t="shared" ca="1" si="40"/>
        <v>-0.31050441114984101</v>
      </c>
      <c r="I415">
        <f t="shared" ca="1" si="41"/>
        <v>1.1092493064826754</v>
      </c>
    </row>
    <row r="416" spans="1:9" x14ac:dyDescent="0.3">
      <c r="A416" s="1">
        <v>40779</v>
      </c>
      <c r="B416" t="s">
        <v>0</v>
      </c>
      <c r="C416">
        <v>260.66838539999998</v>
      </c>
      <c r="D416" s="2">
        <f t="shared" si="37"/>
        <v>8.6157058364344959E-3</v>
      </c>
      <c r="E416" s="2">
        <f t="shared" ca="1" si="38"/>
        <v>-3.1234498195119915</v>
      </c>
      <c r="F416">
        <f t="shared" ca="1" si="39"/>
        <v>-3.1450053713283519</v>
      </c>
      <c r="G416" s="3">
        <f t="shared" ca="1" si="42"/>
        <v>1.8383610975188449</v>
      </c>
      <c r="H416">
        <f t="shared" ca="1" si="40"/>
        <v>-1.7107658422347096</v>
      </c>
      <c r="I416">
        <f t="shared" ca="1" si="41"/>
        <v>-2.2916387008878605</v>
      </c>
    </row>
    <row r="417" spans="1:9" x14ac:dyDescent="0.3">
      <c r="A417" s="1">
        <v>40780</v>
      </c>
      <c r="B417" t="s">
        <v>0</v>
      </c>
      <c r="C417">
        <v>259.04945550000002</v>
      </c>
      <c r="D417" s="2">
        <f t="shared" si="37"/>
        <v>-6.2106875657962132E-3</v>
      </c>
      <c r="E417" s="2">
        <f t="shared" ca="1" si="38"/>
        <v>-1.5275813283520852</v>
      </c>
      <c r="F417">
        <f t="shared" ca="1" si="39"/>
        <v>-1.5559620253288651</v>
      </c>
      <c r="G417" s="3">
        <f t="shared" ca="1" si="42"/>
        <v>1.8505762993302917</v>
      </c>
      <c r="H417">
        <f t="shared" ca="1" si="40"/>
        <v>-0.8407986343994327</v>
      </c>
      <c r="I417">
        <f t="shared" ca="1" si="41"/>
        <v>-0.88420397269195872</v>
      </c>
    </row>
    <row r="418" spans="1:9" x14ac:dyDescent="0.3">
      <c r="A418" s="1">
        <v>40781</v>
      </c>
      <c r="B418" t="s">
        <v>0</v>
      </c>
      <c r="C418">
        <v>262.44673920000002</v>
      </c>
      <c r="D418" s="2">
        <f t="shared" si="37"/>
        <v>1.3114421311725175E-2</v>
      </c>
      <c r="E418" s="2">
        <f t="shared" ca="1" si="38"/>
        <v>-0.61846372125584459</v>
      </c>
      <c r="F418">
        <f t="shared" ca="1" si="39"/>
        <v>-0.62197688043441757</v>
      </c>
      <c r="G418" s="3">
        <f t="shared" ca="1" si="42"/>
        <v>1.8481471399227183</v>
      </c>
      <c r="H418">
        <f t="shared" ca="1" si="40"/>
        <v>-0.33654078022187456</v>
      </c>
      <c r="I418">
        <f t="shared" ca="1" si="41"/>
        <v>0.94926013345189697</v>
      </c>
    </row>
    <row r="419" spans="1:9" x14ac:dyDescent="0.3">
      <c r="A419" s="1">
        <v>40784</v>
      </c>
      <c r="B419" t="s">
        <v>0</v>
      </c>
      <c r="C419">
        <v>268.53393840000001</v>
      </c>
      <c r="D419" s="2">
        <f t="shared" si="37"/>
        <v>2.3194036315921526E-2</v>
      </c>
      <c r="E419" s="2">
        <f t="shared" ca="1" si="38"/>
        <v>-1.7901462292601256</v>
      </c>
      <c r="F419">
        <f t="shared" ca="1" si="39"/>
        <v>-1.7901891218304755</v>
      </c>
      <c r="G419" s="3">
        <f t="shared" ca="1" si="42"/>
        <v>1.8418821887236125</v>
      </c>
      <c r="H419">
        <f t="shared" ca="1" si="40"/>
        <v>-0.97193465075583407</v>
      </c>
      <c r="I419">
        <f t="shared" ca="1" si="41"/>
        <v>-1.1648104007959721</v>
      </c>
    </row>
    <row r="420" spans="1:9" x14ac:dyDescent="0.3">
      <c r="A420" s="1">
        <v>40785</v>
      </c>
      <c r="B420" t="s">
        <v>0</v>
      </c>
      <c r="C420">
        <v>269.34091610000002</v>
      </c>
      <c r="D420" s="2">
        <f t="shared" si="37"/>
        <v>3.0051236905405789E-3</v>
      </c>
      <c r="E420" s="2">
        <f t="shared" ca="1" si="38"/>
        <v>1.489681459378017</v>
      </c>
      <c r="F420">
        <f t="shared" ca="1" si="39"/>
        <v>1.4745994924783155</v>
      </c>
      <c r="G420" s="3">
        <f t="shared" ca="1" si="42"/>
        <v>1.8411273564929083</v>
      </c>
      <c r="H420">
        <f t="shared" ca="1" si="40"/>
        <v>0.80092204772146913</v>
      </c>
      <c r="I420">
        <f t="shared" ca="1" si="41"/>
        <v>-0.77677699793478272</v>
      </c>
    </row>
    <row r="421" spans="1:9" x14ac:dyDescent="0.3">
      <c r="A421" s="1">
        <v>40786</v>
      </c>
      <c r="B421" t="s">
        <v>0</v>
      </c>
      <c r="C421">
        <v>269.4704327</v>
      </c>
      <c r="D421" s="2">
        <f t="shared" si="37"/>
        <v>4.808649271538885E-4</v>
      </c>
      <c r="E421" s="2">
        <f t="shared" ca="1" si="38"/>
        <v>0.78378801055462666</v>
      </c>
      <c r="F421">
        <f t="shared" ca="1" si="39"/>
        <v>0.76844913670496595</v>
      </c>
      <c r="G421" s="3">
        <f t="shared" ca="1" si="42"/>
        <v>1.8384027837989434</v>
      </c>
      <c r="H421">
        <f t="shared" ca="1" si="40"/>
        <v>0.41799824471382396</v>
      </c>
      <c r="I421">
        <f t="shared" ca="1" si="41"/>
        <v>0.52676141513063723</v>
      </c>
    </row>
    <row r="422" spans="1:9" x14ac:dyDescent="0.3">
      <c r="A422" s="1">
        <v>40787</v>
      </c>
      <c r="B422" t="s">
        <v>0</v>
      </c>
      <c r="C422">
        <v>265.2562226</v>
      </c>
      <c r="D422" s="2">
        <f t="shared" si="37"/>
        <v>-1.5638858993823862E-2</v>
      </c>
      <c r="E422" s="2">
        <f t="shared" ca="1" si="38"/>
        <v>-0.33730974551154747</v>
      </c>
      <c r="F422">
        <f t="shared" ca="1" si="39"/>
        <v>-0.33932440341271741</v>
      </c>
      <c r="G422" s="3">
        <f t="shared" ca="1" si="42"/>
        <v>1.8326574954554968</v>
      </c>
      <c r="H422">
        <f t="shared" ca="1" si="40"/>
        <v>-0.18515429328947264</v>
      </c>
      <c r="I422">
        <f t="shared" ca="1" si="41"/>
        <v>2.1594732495581299</v>
      </c>
    </row>
    <row r="423" spans="1:9" x14ac:dyDescent="0.3">
      <c r="A423" s="1">
        <v>40788</v>
      </c>
      <c r="B423" t="s">
        <v>0</v>
      </c>
      <c r="C423">
        <v>261.44051180000002</v>
      </c>
      <c r="D423" s="2">
        <f t="shared" si="37"/>
        <v>-1.4385000142876862E-2</v>
      </c>
      <c r="E423" s="2">
        <f t="shared" ca="1" si="38"/>
        <v>2.9250495000441381</v>
      </c>
      <c r="F423">
        <f t="shared" ca="1" si="39"/>
        <v>2.9294130343236935</v>
      </c>
      <c r="G423" s="3">
        <f t="shared" ca="1" si="42"/>
        <v>1.8260582798296874</v>
      </c>
      <c r="H423">
        <f t="shared" ca="1" si="40"/>
        <v>1.6042275685729557</v>
      </c>
      <c r="I423">
        <f t="shared" ca="1" si="41"/>
        <v>-2.1496282601599033</v>
      </c>
    </row>
    <row r="424" spans="1:9" x14ac:dyDescent="0.3">
      <c r="A424" s="1">
        <v>40792</v>
      </c>
      <c r="B424" t="s">
        <v>0</v>
      </c>
      <c r="C424">
        <v>260.1154669</v>
      </c>
      <c r="D424" s="2">
        <f t="shared" si="37"/>
        <v>-5.0682462747535934E-3</v>
      </c>
      <c r="E424" s="2">
        <f t="shared" ca="1" si="38"/>
        <v>-3.3914758004044905</v>
      </c>
      <c r="F424">
        <f t="shared" ca="1" si="39"/>
        <v>-3.3774484246480059</v>
      </c>
      <c r="G424" s="3">
        <f t="shared" ca="1" si="42"/>
        <v>1.8362325207672734</v>
      </c>
      <c r="H424">
        <f t="shared" ca="1" si="40"/>
        <v>-1.8393359154954583</v>
      </c>
      <c r="I424">
        <f t="shared" ca="1" si="41"/>
        <v>-2.4342432927646014</v>
      </c>
    </row>
    <row r="425" spans="1:9" x14ac:dyDescent="0.3">
      <c r="A425" s="1">
        <v>40793</v>
      </c>
      <c r="B425" t="s">
        <v>0</v>
      </c>
      <c r="C425">
        <v>266.01836980000002</v>
      </c>
      <c r="D425" s="2">
        <f t="shared" si="37"/>
        <v>2.269339447726634E-2</v>
      </c>
      <c r="E425" s="2">
        <f t="shared" ca="1" si="38"/>
        <v>-1.7920099385929036</v>
      </c>
      <c r="F425">
        <f t="shared" ca="1" si="39"/>
        <v>-1.7815412706239728</v>
      </c>
      <c r="G425" s="3">
        <f t="shared" ca="1" si="42"/>
        <v>1.851459419252796</v>
      </c>
      <c r="H425">
        <f t="shared" ca="1" si="40"/>
        <v>-0.96223619707687658</v>
      </c>
      <c r="I425">
        <f t="shared" ca="1" si="41"/>
        <v>-1.1551200024196002</v>
      </c>
    </row>
    <row r="426" spans="1:9" x14ac:dyDescent="0.3">
      <c r="A426" s="1">
        <v>40794</v>
      </c>
      <c r="B426" t="s">
        <v>0</v>
      </c>
      <c r="C426">
        <v>266.48162739999998</v>
      </c>
      <c r="D426" s="2">
        <f t="shared" si="37"/>
        <v>1.7414496613457672E-3</v>
      </c>
      <c r="E426" s="2">
        <f t="shared" ca="1" si="38"/>
        <v>1.8715912845254441</v>
      </c>
      <c r="F426">
        <f t="shared" ca="1" si="39"/>
        <v>1.867980878781822</v>
      </c>
      <c r="G426" s="3">
        <f t="shared" ca="1" si="42"/>
        <v>1.8504405656916443</v>
      </c>
      <c r="H426">
        <f t="shared" ca="1" si="40"/>
        <v>1.0094789929573456</v>
      </c>
      <c r="I426">
        <f t="shared" ca="1" si="41"/>
        <v>-1.2497170762266891</v>
      </c>
    </row>
    <row r="427" spans="1:9" x14ac:dyDescent="0.3">
      <c r="A427" s="1">
        <v>40795</v>
      </c>
      <c r="B427" t="s">
        <v>0</v>
      </c>
      <c r="C427">
        <v>261.44548609999998</v>
      </c>
      <c r="D427" s="2">
        <f t="shared" si="37"/>
        <v>-1.8898643591817081E-2</v>
      </c>
      <c r="E427" s="2">
        <f t="shared" ca="1" si="38"/>
        <v>0.43290736168578342</v>
      </c>
      <c r="F427">
        <f t="shared" ca="1" si="39"/>
        <v>0.41825701977942803</v>
      </c>
      <c r="G427" s="3">
        <f t="shared" ca="1" si="42"/>
        <v>1.8500419706768343</v>
      </c>
      <c r="H427">
        <f t="shared" ca="1" si="40"/>
        <v>0.22607974651862062</v>
      </c>
      <c r="I427">
        <f t="shared" ca="1" si="41"/>
        <v>1.7412766916873117</v>
      </c>
    </row>
    <row r="428" spans="1:9" x14ac:dyDescent="0.3">
      <c r="A428" s="1">
        <v>40798</v>
      </c>
      <c r="B428" t="s">
        <v>0</v>
      </c>
      <c r="C428">
        <v>264.07064339999999</v>
      </c>
      <c r="D428" s="2">
        <f t="shared" si="37"/>
        <v>1.0040935642682769E-2</v>
      </c>
      <c r="E428" s="2">
        <f t="shared" ca="1" si="38"/>
        <v>-1.5906838043559932</v>
      </c>
      <c r="F428">
        <f t="shared" ca="1" si="39"/>
        <v>-1.5861332769168159</v>
      </c>
      <c r="G428" s="3">
        <f t="shared" ca="1" si="42"/>
        <v>1.8433492520567405</v>
      </c>
      <c r="H428">
        <f t="shared" ca="1" si="40"/>
        <v>-0.86046270132861014</v>
      </c>
      <c r="I428">
        <f t="shared" ca="1" si="41"/>
        <v>-0.92263838067716053</v>
      </c>
    </row>
    <row r="429" spans="1:9" x14ac:dyDescent="0.3">
      <c r="A429" s="1">
        <v>40799</v>
      </c>
      <c r="B429" t="s">
        <v>0</v>
      </c>
      <c r="C429">
        <v>263.77178409999999</v>
      </c>
      <c r="D429" s="2">
        <f t="shared" si="37"/>
        <v>-1.1317399622770932E-3</v>
      </c>
      <c r="E429" s="2">
        <f t="shared" ca="1" si="38"/>
        <v>-1.1227981903325419</v>
      </c>
      <c r="F429">
        <f t="shared" ca="1" si="39"/>
        <v>-1.1140239273762114</v>
      </c>
      <c r="G429" s="3">
        <f t="shared" ca="1" si="42"/>
        <v>1.841239777447762</v>
      </c>
      <c r="H429">
        <f t="shared" ca="1" si="40"/>
        <v>-0.60504011537292424</v>
      </c>
      <c r="I429">
        <f t="shared" ca="1" si="41"/>
        <v>-0.21595827219468647</v>
      </c>
    </row>
    <row r="430" spans="1:9" x14ac:dyDescent="0.3">
      <c r="A430" s="1">
        <v>40800</v>
      </c>
      <c r="B430" t="s">
        <v>0</v>
      </c>
      <c r="C430">
        <v>265.04201940000002</v>
      </c>
      <c r="D430" s="2">
        <f t="shared" si="37"/>
        <v>4.8156602660671937E-3</v>
      </c>
      <c r="E430" s="2">
        <f t="shared" ca="1" si="38"/>
        <v>-0.29012435777076895</v>
      </c>
      <c r="F430">
        <f t="shared" ca="1" si="39"/>
        <v>-0.29603936949295467</v>
      </c>
      <c r="G430" s="3">
        <f t="shared" ca="1" si="42"/>
        <v>1.8367124322553574</v>
      </c>
      <c r="H430">
        <f t="shared" ca="1" si="40"/>
        <v>-0.16117894358097121</v>
      </c>
      <c r="I430">
        <f t="shared" ca="1" si="41"/>
        <v>2.43426104296447</v>
      </c>
    </row>
    <row r="431" spans="1:9" x14ac:dyDescent="0.3">
      <c r="A431" s="1">
        <v>40801</v>
      </c>
      <c r="B431" t="s">
        <v>0</v>
      </c>
      <c r="C431">
        <v>270.2674313</v>
      </c>
      <c r="D431" s="2">
        <f t="shared" si="37"/>
        <v>1.9715409321998181E-2</v>
      </c>
      <c r="E431" s="2">
        <f t="shared" ca="1" si="38"/>
        <v>-0.83285235323048989</v>
      </c>
      <c r="F431">
        <f t="shared" ca="1" si="39"/>
        <v>-0.83358348595812759</v>
      </c>
      <c r="G431" s="3">
        <f t="shared" ca="1" si="42"/>
        <v>1.8300111620802901</v>
      </c>
      <c r="H431">
        <f t="shared" ca="1" si="40"/>
        <v>-0.45550732325071736</v>
      </c>
      <c r="I431">
        <f t="shared" ca="1" si="41"/>
        <v>0.36348344906338087</v>
      </c>
    </row>
    <row r="432" spans="1:9" x14ac:dyDescent="0.3">
      <c r="A432" s="1">
        <v>40802</v>
      </c>
      <c r="B432" t="s">
        <v>0</v>
      </c>
      <c r="C432">
        <v>272.31974179999997</v>
      </c>
      <c r="D432" s="2">
        <f t="shared" si="37"/>
        <v>7.5936286149176713E-3</v>
      </c>
      <c r="E432" s="2">
        <f t="shared" ca="1" si="38"/>
        <v>-2.0177000374490981</v>
      </c>
      <c r="F432">
        <f t="shared" ca="1" si="39"/>
        <v>-2.0265771869003828</v>
      </c>
      <c r="G432" s="3">
        <f t="shared" ca="1" si="42"/>
        <v>1.8245842585661185</v>
      </c>
      <c r="H432">
        <f t="shared" ca="1" si="40"/>
        <v>-1.1107062759014505</v>
      </c>
      <c r="I432">
        <f t="shared" ca="1" si="41"/>
        <v>-1.4127105504409283</v>
      </c>
    </row>
    <row r="433" spans="1:9" x14ac:dyDescent="0.3">
      <c r="A433" s="1">
        <v>40805</v>
      </c>
      <c r="B433" t="s">
        <v>0</v>
      </c>
      <c r="C433">
        <v>272.31476739999999</v>
      </c>
      <c r="D433" s="2">
        <f t="shared" si="37"/>
        <v>-1.8266762325420601E-5</v>
      </c>
      <c r="E433" s="2">
        <f t="shared" ca="1" si="38"/>
        <v>-1.8915738054230693</v>
      </c>
      <c r="F433">
        <f t="shared" ca="1" si="39"/>
        <v>-1.9061146833233282</v>
      </c>
      <c r="G433" s="3">
        <f t="shared" ca="1" si="42"/>
        <v>1.8259912967979388</v>
      </c>
      <c r="H433">
        <f t="shared" ca="1" si="40"/>
        <v>-1.0438793912467677</v>
      </c>
      <c r="I433">
        <f t="shared" ca="1" si="41"/>
        <v>-1.2901339462045895</v>
      </c>
    </row>
    <row r="434" spans="1:9" x14ac:dyDescent="0.3">
      <c r="A434" s="1">
        <v>40806</v>
      </c>
      <c r="B434" t="s">
        <v>0</v>
      </c>
      <c r="C434">
        <v>272.29483959999999</v>
      </c>
      <c r="D434" s="2">
        <f t="shared" si="37"/>
        <v>-7.3179285098164449E-5</v>
      </c>
      <c r="E434" s="2">
        <f t="shared" ca="1" si="38"/>
        <v>-2.1129876111724388</v>
      </c>
      <c r="F434">
        <f t="shared" ca="1" si="39"/>
        <v>-2.1177106921173627</v>
      </c>
      <c r="G434" s="3">
        <f t="shared" ca="1" si="42"/>
        <v>1.8264285440785888</v>
      </c>
      <c r="H434">
        <f t="shared" ca="1" si="40"/>
        <v>-1.1594818198517163</v>
      </c>
      <c r="I434">
        <f t="shared" ca="1" si="41"/>
        <v>-1.5006712872018093</v>
      </c>
    </row>
    <row r="435" spans="1:9" x14ac:dyDescent="0.3">
      <c r="A435" s="1">
        <v>40807</v>
      </c>
      <c r="B435" t="s">
        <v>0</v>
      </c>
      <c r="C435">
        <v>268.59372230000002</v>
      </c>
      <c r="D435" s="2">
        <f t="shared" si="37"/>
        <v>-1.359231524709352E-2</v>
      </c>
      <c r="E435" s="2">
        <f t="shared" ca="1" si="38"/>
        <v>-0.27307222979184975</v>
      </c>
      <c r="F435">
        <f t="shared" ca="1" si="39"/>
        <v>-0.2730390356054907</v>
      </c>
      <c r="G435" s="3">
        <f t="shared" ca="1" si="42"/>
        <v>1.8285339511800662</v>
      </c>
      <c r="H435">
        <f t="shared" ca="1" si="40"/>
        <v>-0.14932128300340375</v>
      </c>
      <c r="I435">
        <f t="shared" ca="1" si="41"/>
        <v>2.5938028069606469</v>
      </c>
    </row>
    <row r="436" spans="1:9" x14ac:dyDescent="0.3">
      <c r="A436" s="1">
        <v>40808</v>
      </c>
      <c r="B436" t="s">
        <v>0</v>
      </c>
      <c r="C436">
        <v>259.35829389999998</v>
      </c>
      <c r="D436" s="2">
        <f t="shared" si="37"/>
        <v>-3.4384379206319392E-2</v>
      </c>
      <c r="E436" s="2">
        <f t="shared" ca="1" si="38"/>
        <v>-2.8798790946698878</v>
      </c>
      <c r="F436">
        <f t="shared" ca="1" si="39"/>
        <v>-2.8757807675068445</v>
      </c>
      <c r="G436" s="3">
        <f t="shared" ca="1" si="42"/>
        <v>1.8219040748499356</v>
      </c>
      <c r="H436">
        <f t="shared" ca="1" si="40"/>
        <v>-1.5784479584874487</v>
      </c>
      <c r="I436">
        <f t="shared" ca="1" si="41"/>
        <v>-2.1127913761519559</v>
      </c>
    </row>
    <row r="437" spans="1:9" x14ac:dyDescent="0.3">
      <c r="A437" s="1">
        <v>40809</v>
      </c>
      <c r="B437" t="s">
        <v>0</v>
      </c>
      <c r="C437">
        <v>261.7742523</v>
      </c>
      <c r="D437" s="2">
        <f t="shared" si="37"/>
        <v>9.3151383889482874E-3</v>
      </c>
      <c r="E437" s="2">
        <f t="shared" ca="1" si="38"/>
        <v>1.7865241624201627</v>
      </c>
      <c r="F437">
        <f t="shared" ca="1" si="39"/>
        <v>1.8052402858132008</v>
      </c>
      <c r="G437" s="3">
        <f t="shared" ca="1" si="42"/>
        <v>1.8316263143426466</v>
      </c>
      <c r="H437">
        <f t="shared" ca="1" si="40"/>
        <v>0.9855942075505093</v>
      </c>
      <c r="I437">
        <f t="shared" ca="1" si="41"/>
        <v>-1.1814140366812496</v>
      </c>
    </row>
    <row r="438" spans="1:9" x14ac:dyDescent="0.3">
      <c r="A438" s="1">
        <v>40812</v>
      </c>
      <c r="B438" t="s">
        <v>0</v>
      </c>
      <c r="C438">
        <v>264.9523585</v>
      </c>
      <c r="D438" s="2">
        <f t="shared" si="37"/>
        <v>1.2140637102681172E-2</v>
      </c>
      <c r="E438" s="2">
        <f t="shared" ca="1" si="38"/>
        <v>1.3357795600919862</v>
      </c>
      <c r="F438">
        <f t="shared" ca="1" si="39"/>
        <v>1.354413147135024</v>
      </c>
      <c r="G438" s="3">
        <f t="shared" ca="1" si="42"/>
        <v>1.8312000372986905</v>
      </c>
      <c r="H438">
        <f t="shared" ca="1" si="40"/>
        <v>0.73963145453677337</v>
      </c>
      <c r="I438">
        <f t="shared" ca="1" si="41"/>
        <v>-0.60681686657050993</v>
      </c>
    </row>
    <row r="439" spans="1:9" x14ac:dyDescent="0.3">
      <c r="A439" s="1">
        <v>40813</v>
      </c>
      <c r="B439" t="s">
        <v>0</v>
      </c>
      <c r="C439">
        <v>268.66345489999998</v>
      </c>
      <c r="D439" s="2">
        <f t="shared" si="37"/>
        <v>1.4006655464438803E-2</v>
      </c>
      <c r="E439" s="2">
        <f t="shared" ca="1" si="38"/>
        <v>0.81698871139430573</v>
      </c>
      <c r="F439">
        <f t="shared" ca="1" si="39"/>
        <v>0.8075682870703853</v>
      </c>
      <c r="G439" s="3">
        <f t="shared" ca="1" si="42"/>
        <v>1.8279923763168899</v>
      </c>
      <c r="H439">
        <f t="shared" ca="1" si="40"/>
        <v>0.4417788047330401</v>
      </c>
      <c r="I439">
        <f t="shared" ca="1" si="41"/>
        <v>0.42715450031456997</v>
      </c>
    </row>
    <row r="440" spans="1:9" x14ac:dyDescent="0.3">
      <c r="A440" s="1">
        <v>40814</v>
      </c>
      <c r="B440" t="s">
        <v>0</v>
      </c>
      <c r="C440">
        <v>263.43303830000002</v>
      </c>
      <c r="D440" s="2">
        <f t="shared" si="37"/>
        <v>-1.9468284593998034E-2</v>
      </c>
      <c r="E440" s="2">
        <f t="shared" ca="1" si="38"/>
        <v>7.3962100838240868E-5</v>
      </c>
      <c r="F440">
        <f t="shared" ca="1" si="39"/>
        <v>-1.1662273128438379E-2</v>
      </c>
      <c r="G440" s="3">
        <f t="shared" ca="1" si="42"/>
        <v>1.8225092000480263</v>
      </c>
      <c r="H440">
        <f t="shared" ca="1" si="40"/>
        <v>-6.3990201685297709E-3</v>
      </c>
      <c r="I440">
        <f t="shared" ca="1" si="41"/>
        <v>6.1161004276485569</v>
      </c>
    </row>
    <row r="441" spans="1:9" x14ac:dyDescent="0.3">
      <c r="A441" s="1">
        <v>40815</v>
      </c>
      <c r="B441" t="s">
        <v>0</v>
      </c>
      <c r="C441">
        <v>262.76555669999999</v>
      </c>
      <c r="D441" s="2">
        <f t="shared" si="37"/>
        <v>-2.5337808966842505E-3</v>
      </c>
      <c r="E441" s="2">
        <f t="shared" ca="1" si="38"/>
        <v>-0.11341232149499614</v>
      </c>
      <c r="F441">
        <f t="shared" ca="1" si="39"/>
        <v>-0.11632944994578619</v>
      </c>
      <c r="G441" s="3">
        <f t="shared" ca="1" si="42"/>
        <v>1.8158026136963712</v>
      </c>
      <c r="H441">
        <f t="shared" ca="1" si="40"/>
        <v>-6.4065030564626216E-2</v>
      </c>
      <c r="I441">
        <f t="shared" ca="1" si="41"/>
        <v>4.3021836397332374</v>
      </c>
    </row>
    <row r="442" spans="1:9" x14ac:dyDescent="0.3">
      <c r="A442" s="1">
        <v>40816</v>
      </c>
      <c r="B442" t="s">
        <v>0</v>
      </c>
      <c r="C442">
        <v>256.55878969999998</v>
      </c>
      <c r="D442" s="2">
        <f t="shared" si="37"/>
        <v>-2.362093068037183E-2</v>
      </c>
      <c r="E442" s="2">
        <f t="shared" ca="1" si="38"/>
        <v>0.60669394029110479</v>
      </c>
      <c r="F442">
        <f t="shared" ca="1" si="39"/>
        <v>0.61957226271524446</v>
      </c>
      <c r="G442" s="3">
        <f t="shared" ca="1" si="42"/>
        <v>1.8092012520201244</v>
      </c>
      <c r="H442">
        <f t="shared" ca="1" si="40"/>
        <v>0.34245624251223589</v>
      </c>
      <c r="I442">
        <f t="shared" ca="1" si="41"/>
        <v>0.95599839235681461</v>
      </c>
    </row>
    <row r="443" spans="1:9" x14ac:dyDescent="0.3">
      <c r="A443" s="1">
        <v>40819</v>
      </c>
      <c r="B443" t="s">
        <v>0</v>
      </c>
      <c r="C443">
        <v>246.83523149999999</v>
      </c>
      <c r="D443" s="2">
        <f t="shared" si="37"/>
        <v>-3.7899922319441726E-2</v>
      </c>
      <c r="E443" s="2">
        <f t="shared" ca="1" si="38"/>
        <v>0.68304851497316454</v>
      </c>
      <c r="F443">
        <f t="shared" ca="1" si="39"/>
        <v>0.69166923717299122</v>
      </c>
      <c r="G443" s="3">
        <f t="shared" ca="1" si="42"/>
        <v>1.8034315509701258</v>
      </c>
      <c r="H443">
        <f t="shared" ca="1" si="40"/>
        <v>0.38352952004245427</v>
      </c>
      <c r="I443">
        <f t="shared" ca="1" si="41"/>
        <v>0.73429235998970099</v>
      </c>
    </row>
    <row r="444" spans="1:9" x14ac:dyDescent="0.3">
      <c r="A444" s="1">
        <v>40820</v>
      </c>
      <c r="B444" t="s">
        <v>0</v>
      </c>
      <c r="C444">
        <v>250.0133222</v>
      </c>
      <c r="D444" s="2">
        <f t="shared" si="37"/>
        <v>1.2875352844433851E-2</v>
      </c>
      <c r="E444" s="2">
        <f t="shared" ca="1" si="38"/>
        <v>0.40330981867846527</v>
      </c>
      <c r="F444">
        <f t="shared" ca="1" si="39"/>
        <v>0.42931894124555847</v>
      </c>
      <c r="G444" s="3">
        <f t="shared" ca="1" si="42"/>
        <v>1.7979312961580218</v>
      </c>
      <c r="H444">
        <f t="shared" ca="1" si="40"/>
        <v>0.23878495366478411</v>
      </c>
      <c r="I444">
        <f t="shared" ca="1" si="41"/>
        <v>1.6902109560138394</v>
      </c>
    </row>
    <row r="445" spans="1:9" x14ac:dyDescent="0.3">
      <c r="A445" s="1">
        <v>40821</v>
      </c>
      <c r="B445" t="s">
        <v>0</v>
      </c>
      <c r="C445">
        <v>251.40810020000001</v>
      </c>
      <c r="D445" s="2">
        <f t="shared" si="37"/>
        <v>5.5788147116586024E-3</v>
      </c>
      <c r="E445" s="2">
        <f t="shared" ca="1" si="38"/>
        <v>0.14612433131256941</v>
      </c>
      <c r="F445">
        <f t="shared" ca="1" si="39"/>
        <v>0.16588550253120682</v>
      </c>
      <c r="G445" s="3">
        <f t="shared" ca="1" si="42"/>
        <v>1.7918945744802439</v>
      </c>
      <c r="H445">
        <f t="shared" ca="1" si="40"/>
        <v>9.2575481221780859E-2</v>
      </c>
      <c r="I445">
        <f t="shared" ca="1" si="41"/>
        <v>3.5917839333219388</v>
      </c>
    </row>
    <row r="446" spans="1:9" x14ac:dyDescent="0.3">
      <c r="A446" s="1">
        <v>40822</v>
      </c>
      <c r="B446" t="s">
        <v>0</v>
      </c>
      <c r="C446">
        <v>256.39442179999998</v>
      </c>
      <c r="D446" s="2">
        <f t="shared" si="37"/>
        <v>1.9833575752067067E-2</v>
      </c>
      <c r="E446" s="2">
        <f t="shared" ca="1" si="38"/>
        <v>-1.0543822453516014</v>
      </c>
      <c r="F446">
        <f t="shared" ca="1" si="39"/>
        <v>-1.0640630947960072</v>
      </c>
      <c r="G446" s="3">
        <f t="shared" ca="1" si="42"/>
        <v>1.7856041336315114</v>
      </c>
      <c r="H446">
        <f t="shared" ca="1" si="40"/>
        <v>-0.59591209202229256</v>
      </c>
      <c r="I446">
        <f t="shared" ca="1" si="41"/>
        <v>-0.1245368075318681</v>
      </c>
    </row>
    <row r="447" spans="1:9" x14ac:dyDescent="0.3">
      <c r="A447" s="1">
        <v>40823</v>
      </c>
      <c r="B447" t="s">
        <v>0</v>
      </c>
      <c r="C447">
        <v>256.59864579999999</v>
      </c>
      <c r="D447" s="2">
        <f t="shared" si="37"/>
        <v>7.9652278924896114E-4</v>
      </c>
      <c r="E447" s="2">
        <f t="shared" ca="1" si="38"/>
        <v>-2.5649370680671799</v>
      </c>
      <c r="F447">
        <f t="shared" ca="1" si="39"/>
        <v>-2.5743246644172597</v>
      </c>
      <c r="G447" s="3">
        <f t="shared" ca="1" si="42"/>
        <v>1.7817272374077298</v>
      </c>
      <c r="H447">
        <f t="shared" ca="1" si="40"/>
        <v>-1.4448477917207438</v>
      </c>
      <c r="I447">
        <f t="shared" ca="1" si="41"/>
        <v>-1.891174562679125</v>
      </c>
    </row>
    <row r="448" spans="1:9" x14ac:dyDescent="0.3">
      <c r="A448" s="1">
        <v>40826</v>
      </c>
      <c r="B448" t="s">
        <v>0</v>
      </c>
      <c r="C448">
        <v>267.58249009999997</v>
      </c>
      <c r="D448" s="2">
        <f t="shared" si="37"/>
        <v>4.2805542740709149E-2</v>
      </c>
      <c r="E448" s="2">
        <f t="shared" ca="1" si="38"/>
        <v>2.2462860982077024</v>
      </c>
      <c r="F448">
        <f t="shared" ca="1" si="39"/>
        <v>2.2336983005146984</v>
      </c>
      <c r="G448" s="3">
        <f t="shared" ca="1" si="42"/>
        <v>1.7895744951149903</v>
      </c>
      <c r="H448">
        <f t="shared" ca="1" si="40"/>
        <v>1.2481728514862247</v>
      </c>
      <c r="I448">
        <f t="shared" ca="1" si="41"/>
        <v>-1.6076845258905734</v>
      </c>
    </row>
    <row r="449" spans="1:9" x14ac:dyDescent="0.3">
      <c r="A449" s="1">
        <v>40827</v>
      </c>
      <c r="B449" t="s">
        <v>0</v>
      </c>
      <c r="C449">
        <v>270.57626970000001</v>
      </c>
      <c r="D449" s="2">
        <f t="shared" si="37"/>
        <v>1.1188249271771162E-2</v>
      </c>
      <c r="E449" s="2">
        <f t="shared" ca="1" si="38"/>
        <v>-0.14367283457995175</v>
      </c>
      <c r="F449">
        <f t="shared" ca="1" si="39"/>
        <v>-0.15693196020013661</v>
      </c>
      <c r="G449" s="3">
        <f t="shared" ca="1" si="42"/>
        <v>1.7937229788901321</v>
      </c>
      <c r="H449">
        <f t="shared" ca="1" si="40"/>
        <v>-8.7489518753469067E-2</v>
      </c>
      <c r="I449">
        <f t="shared" ca="1" si="41"/>
        <v>3.6988031023487764</v>
      </c>
    </row>
    <row r="450" spans="1:9" x14ac:dyDescent="0.3">
      <c r="A450" s="1">
        <v>40828</v>
      </c>
      <c r="B450" t="s">
        <v>0</v>
      </c>
      <c r="C450">
        <v>273.2263595</v>
      </c>
      <c r="D450" s="2">
        <f t="shared" si="37"/>
        <v>9.7942432384712161E-3</v>
      </c>
      <c r="E450" s="2">
        <f t="shared" ca="1" si="38"/>
        <v>1.0642401622455928</v>
      </c>
      <c r="F450">
        <f t="shared" ca="1" si="39"/>
        <v>1.0342493428639798</v>
      </c>
      <c r="G450" s="3">
        <f t="shared" ca="1" si="42"/>
        <v>1.7874047793211867</v>
      </c>
      <c r="H450">
        <f t="shared" ca="1" si="40"/>
        <v>0.57863185487103985</v>
      </c>
      <c r="I450">
        <f t="shared" ca="1" si="41"/>
        <v>-6.7441461074123771E-2</v>
      </c>
    </row>
    <row r="451" spans="1:9" x14ac:dyDescent="0.3">
      <c r="A451" s="1">
        <v>40829</v>
      </c>
      <c r="B451" t="s">
        <v>0</v>
      </c>
      <c r="C451">
        <v>278.45177139999998</v>
      </c>
      <c r="D451" s="2">
        <f t="shared" si="37"/>
        <v>1.9124845456208565E-2</v>
      </c>
      <c r="E451" s="2">
        <f t="shared" ca="1" si="38"/>
        <v>-1.9710651466841249</v>
      </c>
      <c r="F451">
        <f t="shared" ca="1" si="39"/>
        <v>-1.9809523374089795</v>
      </c>
      <c r="G451" s="3">
        <f t="shared" ca="1" si="42"/>
        <v>1.783367446957594</v>
      </c>
      <c r="H451">
        <f t="shared" ca="1" si="40"/>
        <v>-1.1107931462966105</v>
      </c>
      <c r="I451">
        <f t="shared" ca="1" si="41"/>
        <v>-1.3672486219723268</v>
      </c>
    </row>
    <row r="452" spans="1:9" x14ac:dyDescent="0.3">
      <c r="A452" s="1">
        <v>40830</v>
      </c>
      <c r="B452" t="s">
        <v>0</v>
      </c>
      <c r="C452">
        <v>294.73576550000001</v>
      </c>
      <c r="D452" s="2">
        <f t="shared" ref="D452:D515" si="43">(C452-C451)/C451</f>
        <v>5.8480483058618568E-2</v>
      </c>
      <c r="E452" s="2">
        <f t="shared" ca="1" si="38"/>
        <v>-1.9798023699079812</v>
      </c>
      <c r="F452">
        <f t="shared" ca="1" si="39"/>
        <v>-1.9916035808002455</v>
      </c>
      <c r="G452" s="3">
        <f t="shared" ca="1" si="42"/>
        <v>1.7854450226919216</v>
      </c>
      <c r="H452">
        <f t="shared" ca="1" si="40"/>
        <v>-1.1154662033768465</v>
      </c>
      <c r="I452">
        <f t="shared" ca="1" si="41"/>
        <v>-1.378742483527196</v>
      </c>
    </row>
    <row r="453" spans="1:9" x14ac:dyDescent="0.3">
      <c r="A453" s="1">
        <v>40833</v>
      </c>
      <c r="B453" t="s">
        <v>0</v>
      </c>
      <c r="C453">
        <v>290.11805129999999</v>
      </c>
      <c r="D453" s="2">
        <f t="shared" si="43"/>
        <v>-1.566730183615949E-2</v>
      </c>
      <c r="E453" s="2">
        <f t="shared" ca="1" si="38"/>
        <v>0.35542767948043225</v>
      </c>
      <c r="F453">
        <f t="shared" ca="1" si="39"/>
        <v>0.32608184237530108</v>
      </c>
      <c r="G453" s="3">
        <f t="shared" ca="1" si="42"/>
        <v>1.7875584267043696</v>
      </c>
      <c r="H453">
        <f t="shared" ca="1" si="40"/>
        <v>0.18241744577629362</v>
      </c>
      <c r="I453">
        <f t="shared" ca="1" si="41"/>
        <v>2.2389052295612561</v>
      </c>
    </row>
    <row r="454" spans="1:9" x14ac:dyDescent="0.3">
      <c r="A454" s="1">
        <v>40834</v>
      </c>
      <c r="B454" t="s">
        <v>0</v>
      </c>
      <c r="C454">
        <v>294.15293960000002</v>
      </c>
      <c r="D454" s="2">
        <f t="shared" si="43"/>
        <v>1.3907746456726714E-2</v>
      </c>
      <c r="E454" s="2">
        <f t="shared" ref="E454:E517" ca="1" si="44">$N$9*D453+$N$10*D452+F454</f>
        <v>-1.80380949474841</v>
      </c>
      <c r="F454">
        <f t="shared" ref="F454:F517" ca="1" si="45">G454*H454</f>
        <v>-1.8355536504752556</v>
      </c>
      <c r="G454" s="3">
        <f t="shared" ca="1" si="42"/>
        <v>1.7814859576942643</v>
      </c>
      <c r="H454">
        <f t="shared" ref="H454:H517" ca="1" si="46">_xlfn.NORM.S.INV(RAND())</f>
        <v>-1.0303497720807016</v>
      </c>
      <c r="I454">
        <f t="shared" ref="I454:I517" ca="1" si="47">-LN(F454^2)-(D454^2)/(F454^2)</f>
        <v>-1.2147497146770831</v>
      </c>
    </row>
    <row r="455" spans="1:9" x14ac:dyDescent="0.3">
      <c r="A455" s="1">
        <v>40835</v>
      </c>
      <c r="B455" t="s">
        <v>0</v>
      </c>
      <c r="C455">
        <v>289.2662431</v>
      </c>
      <c r="D455" s="2">
        <f t="shared" si="43"/>
        <v>-1.6612774656085835E-2</v>
      </c>
      <c r="E455" s="2">
        <f t="shared" ca="1" si="44"/>
        <v>0.92169671003130127</v>
      </c>
      <c r="F455">
        <f t="shared" ca="1" si="45"/>
        <v>0.92730587779727591</v>
      </c>
      <c r="G455" s="3">
        <f t="shared" ref="G455:G518" ca="1" si="48">SQRT($N$6+$N$7*(H454^2)+$N$8*(G454^2))</f>
        <v>1.782433465788124</v>
      </c>
      <c r="H455">
        <f t="shared" ca="1" si="46"/>
        <v>0.52024712035310483</v>
      </c>
      <c r="I455">
        <f t="shared" ca="1" si="47"/>
        <v>0.1506226544660699</v>
      </c>
    </row>
    <row r="456" spans="1:9" x14ac:dyDescent="0.3">
      <c r="A456" s="1">
        <v>40836</v>
      </c>
      <c r="B456" t="s">
        <v>0</v>
      </c>
      <c r="C456">
        <v>290.74570720000003</v>
      </c>
      <c r="D456" s="2">
        <f t="shared" si="43"/>
        <v>5.1145411374135885E-3</v>
      </c>
      <c r="E456" s="2">
        <f t="shared" ca="1" si="44"/>
        <v>0.54881414250413252</v>
      </c>
      <c r="F456">
        <f t="shared" ca="1" si="45"/>
        <v>0.54510718998715946</v>
      </c>
      <c r="G456" s="3">
        <f t="shared" ca="1" si="48"/>
        <v>1.7780275019966585</v>
      </c>
      <c r="H456">
        <f t="shared" ca="1" si="46"/>
        <v>0.30657972915212189</v>
      </c>
      <c r="I456">
        <f t="shared" ca="1" si="47"/>
        <v>1.2134576157475008</v>
      </c>
    </row>
    <row r="457" spans="1:9" x14ac:dyDescent="0.3">
      <c r="A457" s="1">
        <v>40837</v>
      </c>
      <c r="B457" t="s">
        <v>0</v>
      </c>
      <c r="C457">
        <v>294.14299089999997</v>
      </c>
      <c r="D457" s="2">
        <f t="shared" si="43"/>
        <v>1.1684725228506988E-2</v>
      </c>
      <c r="E457" s="2">
        <f t="shared" ca="1" si="44"/>
        <v>-1.4609093127969961</v>
      </c>
      <c r="F457">
        <f t="shared" ca="1" si="45"/>
        <v>-1.4520895722903149</v>
      </c>
      <c r="G457" s="3">
        <f t="shared" ca="1" si="48"/>
        <v>1.7724806942677935</v>
      </c>
      <c r="H457">
        <f t="shared" ca="1" si="46"/>
        <v>-0.81924140386204247</v>
      </c>
      <c r="I457">
        <f t="shared" ca="1" si="47"/>
        <v>-0.74607195836410112</v>
      </c>
    </row>
    <row r="458" spans="1:9" x14ac:dyDescent="0.3">
      <c r="A458" s="1">
        <v>40840</v>
      </c>
      <c r="B458" t="s">
        <v>0</v>
      </c>
      <c r="C458">
        <v>297.09691429999998</v>
      </c>
      <c r="D458" s="2">
        <f t="shared" si="43"/>
        <v>1.0042474209437326E-2</v>
      </c>
      <c r="E458" s="2">
        <f t="shared" ca="1" si="44"/>
        <v>-1.5143076882996254</v>
      </c>
      <c r="F458">
        <f t="shared" ca="1" si="45"/>
        <v>-1.5209764774217778</v>
      </c>
      <c r="G458" s="3">
        <f t="shared" ca="1" si="48"/>
        <v>1.7709230026744056</v>
      </c>
      <c r="H458">
        <f t="shared" ca="1" si="46"/>
        <v>-0.85886087375048803</v>
      </c>
      <c r="I458">
        <f t="shared" ca="1" si="47"/>
        <v>-0.83874869088049164</v>
      </c>
    </row>
    <row r="459" spans="1:9" x14ac:dyDescent="0.3">
      <c r="A459" s="1">
        <v>40841</v>
      </c>
      <c r="B459" t="s">
        <v>0</v>
      </c>
      <c r="C459">
        <v>290.49167840000001</v>
      </c>
      <c r="D459" s="2">
        <f t="shared" si="43"/>
        <v>-2.22325967792792E-2</v>
      </c>
      <c r="E459" s="2">
        <f t="shared" ca="1" si="44"/>
        <v>0.9344332051516514</v>
      </c>
      <c r="F459">
        <f t="shared" ca="1" si="45"/>
        <v>0.9241628465912255</v>
      </c>
      <c r="G459" s="3">
        <f t="shared" ca="1" si="48"/>
        <v>1.7698393288002894</v>
      </c>
      <c r="H459">
        <f t="shared" ca="1" si="46"/>
        <v>0.52217330214810087</v>
      </c>
      <c r="I459">
        <f t="shared" ca="1" si="47"/>
        <v>0.15715522410792665</v>
      </c>
    </row>
    <row r="460" spans="1:9" x14ac:dyDescent="0.3">
      <c r="A460" s="1">
        <v>40842</v>
      </c>
      <c r="B460" t="s">
        <v>0</v>
      </c>
      <c r="C460">
        <v>292.06077299999998</v>
      </c>
      <c r="D460" s="2">
        <f t="shared" si="43"/>
        <v>5.4015130782485475E-3</v>
      </c>
      <c r="E460" s="2">
        <f t="shared" ca="1" si="44"/>
        <v>1.5191802307592932</v>
      </c>
      <c r="F460">
        <f t="shared" ca="1" si="45"/>
        <v>1.5195558072456923</v>
      </c>
      <c r="G460" s="3">
        <f t="shared" ca="1" si="48"/>
        <v>1.765609291307944</v>
      </c>
      <c r="H460">
        <f t="shared" ca="1" si="46"/>
        <v>0.86064103464250685</v>
      </c>
      <c r="I460">
        <f t="shared" ca="1" si="47"/>
        <v>-0.83684875579877682</v>
      </c>
    </row>
    <row r="461" spans="1:9" x14ac:dyDescent="0.3">
      <c r="A461" s="1">
        <v>40843</v>
      </c>
      <c r="B461" t="s">
        <v>0</v>
      </c>
      <c r="C461">
        <v>298.21770479999998</v>
      </c>
      <c r="D461" s="2">
        <f t="shared" si="43"/>
        <v>2.1080995358455739E-2</v>
      </c>
      <c r="E461" s="2">
        <f t="shared" ca="1" si="44"/>
        <v>-0.99537725793451659</v>
      </c>
      <c r="F461">
        <f t="shared" ca="1" si="45"/>
        <v>-0.98314363786516146</v>
      </c>
      <c r="G461" s="3">
        <f t="shared" ca="1" si="48"/>
        <v>1.7646246045413174</v>
      </c>
      <c r="H461">
        <f t="shared" ca="1" si="46"/>
        <v>-0.5571403885761369</v>
      </c>
      <c r="I461">
        <f t="shared" ca="1" si="47"/>
        <v>3.3540317045674672E-2</v>
      </c>
    </row>
    <row r="462" spans="1:9" x14ac:dyDescent="0.3">
      <c r="A462" s="1">
        <v>40844</v>
      </c>
      <c r="B462" t="s">
        <v>0</v>
      </c>
      <c r="C462">
        <v>298.94997560000002</v>
      </c>
      <c r="D462" s="2">
        <f t="shared" si="43"/>
        <v>2.4554906976134625E-3</v>
      </c>
      <c r="E462" s="2">
        <f t="shared" ca="1" si="44"/>
        <v>-2.0729634978246478</v>
      </c>
      <c r="F462">
        <f t="shared" ca="1" si="45"/>
        <v>-2.0826126264496057</v>
      </c>
      <c r="G462" s="3">
        <f t="shared" ca="1" si="48"/>
        <v>1.7607196964643714</v>
      </c>
      <c r="H462">
        <f t="shared" ca="1" si="46"/>
        <v>-1.1828189521771206</v>
      </c>
      <c r="I462">
        <f t="shared" ca="1" si="47"/>
        <v>-1.4672477419937813</v>
      </c>
    </row>
    <row r="463" spans="1:9" x14ac:dyDescent="0.3">
      <c r="A463" s="1">
        <v>40847</v>
      </c>
      <c r="B463" t="s">
        <v>0</v>
      </c>
      <c r="C463">
        <v>295.2139765</v>
      </c>
      <c r="D463" s="2">
        <f t="shared" si="43"/>
        <v>-1.2497071098606956E-2</v>
      </c>
      <c r="E463" s="2">
        <f t="shared" ca="1" si="44"/>
        <v>-1.5816943097453575</v>
      </c>
      <c r="F463">
        <f t="shared" ca="1" si="45"/>
        <v>-1.5955535184051921</v>
      </c>
      <c r="G463" s="3">
        <f t="shared" ca="1" si="48"/>
        <v>1.7642976736587026</v>
      </c>
      <c r="H463">
        <f t="shared" ca="1" si="46"/>
        <v>-0.90435618786280081</v>
      </c>
      <c r="I463">
        <f t="shared" ca="1" si="47"/>
        <v>-0.93450276609144511</v>
      </c>
    </row>
    <row r="464" spans="1:9" x14ac:dyDescent="0.3">
      <c r="A464" s="1">
        <v>40848</v>
      </c>
      <c r="B464" t="s">
        <v>0</v>
      </c>
      <c r="C464">
        <v>288.24509260000002</v>
      </c>
      <c r="D464" s="2">
        <f t="shared" si="43"/>
        <v>-2.3606212627944396E-2</v>
      </c>
      <c r="E464" s="2">
        <f t="shared" ca="1" si="44"/>
        <v>3.163120070943529</v>
      </c>
      <c r="F464">
        <f t="shared" ca="1" si="45"/>
        <v>3.1653172397046809</v>
      </c>
      <c r="G464" s="3">
        <f t="shared" ca="1" si="48"/>
        <v>1.7638581347485585</v>
      </c>
      <c r="H464">
        <f t="shared" ca="1" si="46"/>
        <v>1.7945418496799366</v>
      </c>
      <c r="I464">
        <f t="shared" ca="1" si="47"/>
        <v>-2.3045621869294841</v>
      </c>
    </row>
    <row r="465" spans="1:9" x14ac:dyDescent="0.3">
      <c r="A465" s="1">
        <v>40849</v>
      </c>
      <c r="B465" t="s">
        <v>0</v>
      </c>
      <c r="C465">
        <v>291.31855350000001</v>
      </c>
      <c r="D465" s="2">
        <f t="shared" si="43"/>
        <v>1.0662665137772361E-2</v>
      </c>
      <c r="E465" s="2">
        <f t="shared" ca="1" si="44"/>
        <v>-0.62192060073092148</v>
      </c>
      <c r="F465">
        <f t="shared" ca="1" si="45"/>
        <v>-0.60710015903859793</v>
      </c>
      <c r="G465" s="3">
        <f t="shared" ca="1" si="48"/>
        <v>1.7797241696590951</v>
      </c>
      <c r="H465">
        <f t="shared" ca="1" si="46"/>
        <v>-0.34112036538498408</v>
      </c>
      <c r="I465">
        <f t="shared" ca="1" si="47"/>
        <v>0.99781452124439918</v>
      </c>
    </row>
    <row r="466" spans="1:9" x14ac:dyDescent="0.3">
      <c r="A466" s="1">
        <v>40850</v>
      </c>
      <c r="B466" t="s">
        <v>0</v>
      </c>
      <c r="C466">
        <v>297.6349098</v>
      </c>
      <c r="D466" s="2">
        <f t="shared" si="43"/>
        <v>2.1681956827373835E-2</v>
      </c>
      <c r="E466" s="2">
        <f t="shared" ca="1" si="44"/>
        <v>2.1855581301604365</v>
      </c>
      <c r="F466">
        <f t="shared" ca="1" si="45"/>
        <v>2.1970784025610026</v>
      </c>
      <c r="G466" s="3">
        <f t="shared" ca="1" si="48"/>
        <v>1.7743082067917331</v>
      </c>
      <c r="H466">
        <f t="shared" ca="1" si="46"/>
        <v>1.2382732572339918</v>
      </c>
      <c r="I466">
        <f t="shared" ca="1" si="47"/>
        <v>-1.5743543460011806</v>
      </c>
    </row>
    <row r="467" spans="1:9" x14ac:dyDescent="0.3">
      <c r="A467" s="1">
        <v>40851</v>
      </c>
      <c r="B467" t="s">
        <v>0</v>
      </c>
      <c r="C467">
        <v>296.95744910000002</v>
      </c>
      <c r="D467" s="2">
        <f t="shared" si="43"/>
        <v>-2.2761466403763342E-3</v>
      </c>
      <c r="E467" s="2">
        <f t="shared" ca="1" si="44"/>
        <v>-0.27716344122010561</v>
      </c>
      <c r="F467">
        <f t="shared" ca="1" si="45"/>
        <v>-0.29026785779982828</v>
      </c>
      <c r="G467" s="3">
        <f t="shared" ca="1" si="48"/>
        <v>1.7785597916423883</v>
      </c>
      <c r="H467">
        <f t="shared" ca="1" si="46"/>
        <v>-0.16320387943313625</v>
      </c>
      <c r="I467">
        <f t="shared" ca="1" si="47"/>
        <v>2.4738407797027193</v>
      </c>
    </row>
    <row r="468" spans="1:9" x14ac:dyDescent="0.3">
      <c r="A468" s="1">
        <v>40854</v>
      </c>
      <c r="B468" t="s">
        <v>0</v>
      </c>
      <c r="C468">
        <v>303.02969430000002</v>
      </c>
      <c r="D468" s="2">
        <f t="shared" si="43"/>
        <v>2.0448199627264366E-2</v>
      </c>
      <c r="E468" s="2">
        <f t="shared" ca="1" si="44"/>
        <v>-1.3517324552161218</v>
      </c>
      <c r="F468">
        <f t="shared" ca="1" si="45"/>
        <v>-1.3645550698666549</v>
      </c>
      <c r="G468" s="3">
        <f t="shared" ca="1" si="48"/>
        <v>1.7725498499350436</v>
      </c>
      <c r="H468">
        <f t="shared" ca="1" si="46"/>
        <v>-0.76982606154442423</v>
      </c>
      <c r="I468">
        <f t="shared" ca="1" si="47"/>
        <v>-0.62188139645445517</v>
      </c>
    </row>
    <row r="469" spans="1:9" x14ac:dyDescent="0.3">
      <c r="A469" s="1">
        <v>40855</v>
      </c>
      <c r="B469" t="s">
        <v>0</v>
      </c>
      <c r="C469">
        <v>305.02719519999999</v>
      </c>
      <c r="D469" s="2">
        <f t="shared" si="43"/>
        <v>6.5917662116058082E-3</v>
      </c>
      <c r="E469" s="2">
        <f t="shared" ca="1" si="44"/>
        <v>0.52684659032537018</v>
      </c>
      <c r="F469">
        <f t="shared" ca="1" si="45"/>
        <v>0.52216699287133106</v>
      </c>
      <c r="G469" s="3">
        <f t="shared" ca="1" si="48"/>
        <v>1.7704581877816359</v>
      </c>
      <c r="H469">
        <f t="shared" ca="1" si="46"/>
        <v>0.29493325314030738</v>
      </c>
      <c r="I469">
        <f t="shared" ca="1" si="47"/>
        <v>1.2993763030931345</v>
      </c>
    </row>
    <row r="470" spans="1:9" x14ac:dyDescent="0.3">
      <c r="A470" s="1">
        <v>40856</v>
      </c>
      <c r="B470" t="s">
        <v>0</v>
      </c>
      <c r="C470">
        <v>299.35347969999998</v>
      </c>
      <c r="D470" s="2">
        <f t="shared" si="43"/>
        <v>-1.860068737897248E-2</v>
      </c>
      <c r="E470" s="2">
        <f t="shared" ca="1" si="44"/>
        <v>3.0673141957285424</v>
      </c>
      <c r="F470">
        <f t="shared" ca="1" si="45"/>
        <v>3.0526157324699423</v>
      </c>
      <c r="G470" s="3">
        <f t="shared" ca="1" si="48"/>
        <v>1.7649562106810555</v>
      </c>
      <c r="H470">
        <f t="shared" ca="1" si="46"/>
        <v>1.7295702374916198</v>
      </c>
      <c r="I470">
        <f t="shared" ca="1" si="47"/>
        <v>-2.2320348095973457</v>
      </c>
    </row>
    <row r="471" spans="1:9" x14ac:dyDescent="0.3">
      <c r="A471" s="1">
        <v>40857</v>
      </c>
      <c r="B471" t="s">
        <v>0</v>
      </c>
      <c r="C471">
        <v>296.42943270000001</v>
      </c>
      <c r="D471" s="2">
        <f t="shared" si="43"/>
        <v>-9.7678737622503512E-3</v>
      </c>
      <c r="E471" s="2">
        <f t="shared" ca="1" si="44"/>
        <v>1.7284759579117299</v>
      </c>
      <c r="F471">
        <f t="shared" ca="1" si="45"/>
        <v>1.7299173690067327</v>
      </c>
      <c r="G471" s="3">
        <f t="shared" ca="1" si="48"/>
        <v>1.7792498637792247</v>
      </c>
      <c r="H471">
        <f t="shared" ca="1" si="46"/>
        <v>0.97227343063120597</v>
      </c>
      <c r="I471">
        <f t="shared" ca="1" si="47"/>
        <v>-1.0961791698571115</v>
      </c>
    </row>
    <row r="472" spans="1:9" x14ac:dyDescent="0.3">
      <c r="A472" s="1">
        <v>40858</v>
      </c>
      <c r="B472" t="s">
        <v>0</v>
      </c>
      <c r="C472">
        <v>303.03964300000001</v>
      </c>
      <c r="D472" s="2">
        <f t="shared" si="43"/>
        <v>2.2299439835617933E-2</v>
      </c>
      <c r="E472" s="2">
        <f t="shared" ca="1" si="44"/>
        <v>3.5554028899721546</v>
      </c>
      <c r="F472">
        <f t="shared" ca="1" si="45"/>
        <v>3.5698979189618627</v>
      </c>
      <c r="G472" s="3">
        <f t="shared" ca="1" si="48"/>
        <v>1.7794473867491876</v>
      </c>
      <c r="H472">
        <f t="shared" ca="1" si="46"/>
        <v>2.0061834620935821</v>
      </c>
      <c r="I472">
        <f t="shared" ca="1" si="47"/>
        <v>-2.5451130215247102</v>
      </c>
    </row>
    <row r="473" spans="1:9" x14ac:dyDescent="0.3">
      <c r="A473" s="1">
        <v>40861</v>
      </c>
      <c r="B473" t="s">
        <v>0</v>
      </c>
      <c r="C473">
        <v>305.35596190000001</v>
      </c>
      <c r="D473" s="2">
        <f t="shared" si="43"/>
        <v>7.6436167792079887E-3</v>
      </c>
      <c r="E473" s="2">
        <f t="shared" ca="1" si="44"/>
        <v>-0.34434679519797284</v>
      </c>
      <c r="F473">
        <f t="shared" ca="1" si="45"/>
        <v>-0.34491329476536697</v>
      </c>
      <c r="G473" s="3">
        <f t="shared" ca="1" si="48"/>
        <v>1.8003184238228755</v>
      </c>
      <c r="H473">
        <f t="shared" ca="1" si="46"/>
        <v>-0.19158460536828972</v>
      </c>
      <c r="I473">
        <f t="shared" ca="1" si="47"/>
        <v>2.1284333170608756</v>
      </c>
    </row>
    <row r="474" spans="1:9" x14ac:dyDescent="0.3">
      <c r="A474" s="1">
        <v>40862</v>
      </c>
      <c r="B474" t="s">
        <v>0</v>
      </c>
      <c r="C474">
        <v>307.12934130000002</v>
      </c>
      <c r="D474" s="2">
        <f t="shared" si="43"/>
        <v>5.8075807296035968E-3</v>
      </c>
      <c r="E474" s="2">
        <f t="shared" ca="1" si="44"/>
        <v>1.3520353367224733</v>
      </c>
      <c r="F474">
        <f t="shared" ca="1" si="45"/>
        <v>1.3358704868115683</v>
      </c>
      <c r="G474" s="3">
        <f t="shared" ca="1" si="48"/>
        <v>1.7941170691511512</v>
      </c>
      <c r="H474">
        <f t="shared" ca="1" si="46"/>
        <v>0.74458378986584595</v>
      </c>
      <c r="I474">
        <f t="shared" ca="1" si="47"/>
        <v>-0.57918515881198152</v>
      </c>
    </row>
    <row r="475" spans="1:9" x14ac:dyDescent="0.3">
      <c r="A475" s="1">
        <v>40863</v>
      </c>
      <c r="B475" t="s">
        <v>0</v>
      </c>
      <c r="C475">
        <v>304.59384499999999</v>
      </c>
      <c r="D475" s="2">
        <f t="shared" si="43"/>
        <v>-8.2554675149822086E-3</v>
      </c>
      <c r="E475" s="2">
        <f t="shared" ca="1" si="44"/>
        <v>0.4885570865249258</v>
      </c>
      <c r="F475">
        <f t="shared" ca="1" si="45"/>
        <v>0.4820658117311109</v>
      </c>
      <c r="G475" s="3">
        <f t="shared" ca="1" si="48"/>
        <v>1.7914660112535963</v>
      </c>
      <c r="H475">
        <f t="shared" ca="1" si="46"/>
        <v>0.26909012434669666</v>
      </c>
      <c r="I475">
        <f t="shared" ca="1" si="47"/>
        <v>1.4590559987276461</v>
      </c>
    </row>
    <row r="476" spans="1:9" x14ac:dyDescent="0.3">
      <c r="A476" s="1">
        <v>40864</v>
      </c>
      <c r="B476" t="s">
        <v>0</v>
      </c>
      <c r="C476">
        <v>299.31362360000003</v>
      </c>
      <c r="D476" s="2">
        <f t="shared" si="43"/>
        <v>-1.7335285944467985E-2</v>
      </c>
      <c r="E476" s="2">
        <f t="shared" ca="1" si="44"/>
        <v>1.6578363422562339</v>
      </c>
      <c r="F476">
        <f t="shared" ca="1" si="45"/>
        <v>1.6566814760228425</v>
      </c>
      <c r="G476" s="3">
        <f t="shared" ca="1" si="48"/>
        <v>1.7856103757496911</v>
      </c>
      <c r="H476">
        <f t="shared" ca="1" si="46"/>
        <v>0.9277956146100923</v>
      </c>
      <c r="I476">
        <f t="shared" ca="1" si="47"/>
        <v>-1.0097424737022671</v>
      </c>
    </row>
    <row r="477" spans="1:9" x14ac:dyDescent="0.3">
      <c r="A477" s="1">
        <v>40865</v>
      </c>
      <c r="B477" t="s">
        <v>0</v>
      </c>
      <c r="C477">
        <v>296.32979269999998</v>
      </c>
      <c r="D477" s="2">
        <f t="shared" si="43"/>
        <v>-9.96891108434011E-3</v>
      </c>
      <c r="E477" s="2">
        <f t="shared" ca="1" si="44"/>
        <v>0.63035637831079394</v>
      </c>
      <c r="F477">
        <f t="shared" ca="1" si="45"/>
        <v>0.64066581384129684</v>
      </c>
      <c r="G477" s="3">
        <f t="shared" ca="1" si="48"/>
        <v>1.785141258159624</v>
      </c>
      <c r="H477">
        <f t="shared" ca="1" si="46"/>
        <v>0.358888021277255</v>
      </c>
      <c r="I477">
        <f t="shared" ca="1" si="47"/>
        <v>0.89025249761201652</v>
      </c>
    </row>
    <row r="478" spans="1:9" x14ac:dyDescent="0.3">
      <c r="A478" s="1">
        <v>40868</v>
      </c>
      <c r="B478" t="s">
        <v>0</v>
      </c>
      <c r="C478">
        <v>289.38581090000002</v>
      </c>
      <c r="D478" s="2">
        <f t="shared" si="43"/>
        <v>-2.3433289433134885E-2</v>
      </c>
      <c r="E478" s="2">
        <f t="shared" ca="1" si="44"/>
        <v>4.2558402800395898</v>
      </c>
      <c r="F478">
        <f t="shared" ca="1" si="45"/>
        <v>4.2696072901164621</v>
      </c>
      <c r="G478" s="3">
        <f t="shared" ca="1" si="48"/>
        <v>1.7797428328386735</v>
      </c>
      <c r="H478">
        <f t="shared" ca="1" si="46"/>
        <v>2.3990023790720807</v>
      </c>
      <c r="I478">
        <f t="shared" ca="1" si="47"/>
        <v>-2.9030738294415013</v>
      </c>
    </row>
    <row r="479" spans="1:9" x14ac:dyDescent="0.3">
      <c r="A479" s="1">
        <v>40869</v>
      </c>
      <c r="B479" t="s">
        <v>0</v>
      </c>
      <c r="C479">
        <v>288.91754859999998</v>
      </c>
      <c r="D479" s="2">
        <f t="shared" si="43"/>
        <v>-1.6181246016994987E-3</v>
      </c>
      <c r="E479" s="2">
        <f t="shared" ca="1" si="44"/>
        <v>1.8527558111970317</v>
      </c>
      <c r="F479">
        <f t="shared" ca="1" si="45"/>
        <v>1.8659504162766205</v>
      </c>
      <c r="G479" s="3">
        <f t="shared" ca="1" si="48"/>
        <v>1.8121193924187928</v>
      </c>
      <c r="H479">
        <f t="shared" ca="1" si="46"/>
        <v>1.0297061132301966</v>
      </c>
      <c r="I479">
        <f t="shared" ca="1" si="47"/>
        <v>-1.2475418117563479</v>
      </c>
    </row>
    <row r="480" spans="1:9" x14ac:dyDescent="0.3">
      <c r="A480" s="1">
        <v>40870</v>
      </c>
      <c r="B480" t="s">
        <v>0</v>
      </c>
      <c r="C480">
        <v>283.99102640000001</v>
      </c>
      <c r="D480" s="2">
        <f t="shared" si="43"/>
        <v>-1.7051654438687721E-2</v>
      </c>
      <c r="E480" s="2">
        <f t="shared" ca="1" si="44"/>
        <v>6.7237320494021147E-2</v>
      </c>
      <c r="F480">
        <f t="shared" ca="1" si="45"/>
        <v>8.2311621275308153E-2</v>
      </c>
      <c r="G480" s="3">
        <f t="shared" ca="1" si="48"/>
        <v>1.8125779358947025</v>
      </c>
      <c r="H480">
        <f t="shared" ca="1" si="46"/>
        <v>4.5411355641752582E-2</v>
      </c>
      <c r="I480">
        <f t="shared" ca="1" si="47"/>
        <v>4.9515707902418056</v>
      </c>
    </row>
    <row r="481" spans="1:9" x14ac:dyDescent="0.3">
      <c r="A481" s="1">
        <v>40872</v>
      </c>
      <c r="B481" t="s">
        <v>0</v>
      </c>
      <c r="C481">
        <v>280.44930269999998</v>
      </c>
      <c r="D481" s="2">
        <f t="shared" si="43"/>
        <v>-1.2471252155029481E-2</v>
      </c>
      <c r="E481" s="2">
        <f t="shared" ca="1" si="44"/>
        <v>1.340733156605904</v>
      </c>
      <c r="F481">
        <f t="shared" ca="1" si="45"/>
        <v>1.3468249715098464</v>
      </c>
      <c r="G481" s="3">
        <f t="shared" ca="1" si="48"/>
        <v>1.8060007174115669</v>
      </c>
      <c r="H481">
        <f t="shared" ca="1" si="46"/>
        <v>0.74574996483953249</v>
      </c>
      <c r="I481">
        <f t="shared" ca="1" si="47"/>
        <v>-0.59558564182239393</v>
      </c>
    </row>
    <row r="482" spans="1:9" x14ac:dyDescent="0.3">
      <c r="A482" s="1">
        <v>40875</v>
      </c>
      <c r="B482" t="s">
        <v>0</v>
      </c>
      <c r="C482">
        <v>292.99726729999998</v>
      </c>
      <c r="D482" s="2">
        <f t="shared" si="43"/>
        <v>4.4742363340524012E-2</v>
      </c>
      <c r="E482" s="2">
        <f t="shared" ca="1" si="44"/>
        <v>-1.4470248037181954</v>
      </c>
      <c r="F482">
        <f t="shared" ca="1" si="45"/>
        <v>-1.4326882984155678</v>
      </c>
      <c r="G482" s="3">
        <f t="shared" ca="1" si="48"/>
        <v>1.8031973691282537</v>
      </c>
      <c r="H482">
        <f t="shared" ca="1" si="46"/>
        <v>-0.79452661308406491</v>
      </c>
      <c r="I482">
        <f t="shared" ca="1" si="47"/>
        <v>-0.7200805081988042</v>
      </c>
    </row>
    <row r="483" spans="1:9" x14ac:dyDescent="0.3">
      <c r="A483" s="1">
        <v>40876</v>
      </c>
      <c r="B483" t="s">
        <v>0</v>
      </c>
      <c r="C483">
        <v>290.3770849</v>
      </c>
      <c r="D483" s="2">
        <f t="shared" si="43"/>
        <v>-8.9426854528208647E-3</v>
      </c>
      <c r="E483" s="2">
        <f t="shared" ca="1" si="44"/>
        <v>-0.58802274214975336</v>
      </c>
      <c r="F483">
        <f t="shared" ca="1" si="45"/>
        <v>-0.59359756109357908</v>
      </c>
      <c r="G483" s="3">
        <f t="shared" ca="1" si="48"/>
        <v>1.800934058687643</v>
      </c>
      <c r="H483">
        <f t="shared" ca="1" si="46"/>
        <v>-0.3296053835120088</v>
      </c>
      <c r="I483">
        <f t="shared" ca="1" si="47"/>
        <v>1.0428804303749131</v>
      </c>
    </row>
    <row r="484" spans="1:9" x14ac:dyDescent="0.3">
      <c r="A484" s="1">
        <v>40877</v>
      </c>
      <c r="B484" t="s">
        <v>0</v>
      </c>
      <c r="C484">
        <v>298.57637840000001</v>
      </c>
      <c r="D484" s="2">
        <f t="shared" si="43"/>
        <v>2.8236709872694263E-2</v>
      </c>
      <c r="E484" s="2">
        <f t="shared" ca="1" si="44"/>
        <v>-1.9662339304207737</v>
      </c>
      <c r="F484">
        <f t="shared" ca="1" si="45"/>
        <v>-1.9914284525729216</v>
      </c>
      <c r="G484" s="3">
        <f t="shared" ca="1" si="48"/>
        <v>1.7952070445115558</v>
      </c>
      <c r="H484">
        <f t="shared" ca="1" si="46"/>
        <v>-1.1093029401044681</v>
      </c>
      <c r="I484">
        <f t="shared" ca="1" si="47"/>
        <v>-1.3779054407287381</v>
      </c>
    </row>
    <row r="485" spans="1:9" x14ac:dyDescent="0.3">
      <c r="A485" s="1">
        <v>40878</v>
      </c>
      <c r="B485" t="s">
        <v>0</v>
      </c>
      <c r="C485">
        <v>305.73953820000003</v>
      </c>
      <c r="D485" s="2">
        <f t="shared" si="43"/>
        <v>2.3991046573696457E-2</v>
      </c>
      <c r="E485" s="2">
        <f t="shared" ca="1" si="44"/>
        <v>-0.15854059738738713</v>
      </c>
      <c r="F485">
        <f t="shared" ca="1" si="45"/>
        <v>-0.1613912277263784</v>
      </c>
      <c r="G485" s="3">
        <f t="shared" ca="1" si="48"/>
        <v>1.7970686082775083</v>
      </c>
      <c r="H485">
        <f t="shared" ca="1" si="46"/>
        <v>-8.9808050167362291E-2</v>
      </c>
      <c r="I485">
        <f t="shared" ca="1" si="47"/>
        <v>3.6257504858600562</v>
      </c>
    </row>
    <row r="486" spans="1:9" x14ac:dyDescent="0.3">
      <c r="A486" s="1">
        <v>40879</v>
      </c>
      <c r="B486" t="s">
        <v>0</v>
      </c>
      <c r="C486">
        <v>309.0222278</v>
      </c>
      <c r="D486" s="2">
        <f t="shared" si="43"/>
        <v>1.073688283604521E-2</v>
      </c>
      <c r="E486" s="2">
        <f t="shared" ca="1" si="44"/>
        <v>-1.4291644202773726</v>
      </c>
      <c r="F486">
        <f t="shared" ca="1" si="45"/>
        <v>-1.4539006272404764</v>
      </c>
      <c r="G486" s="3">
        <f t="shared" ca="1" si="48"/>
        <v>1.7907136932603691</v>
      </c>
      <c r="H486">
        <f t="shared" ca="1" si="46"/>
        <v>-0.81191126907247024</v>
      </c>
      <c r="I486">
        <f t="shared" ca="1" si="47"/>
        <v>-0.74855460121335926</v>
      </c>
    </row>
    <row r="487" spans="1:9" x14ac:dyDescent="0.3">
      <c r="A487" s="1">
        <v>40882</v>
      </c>
      <c r="B487" t="s">
        <v>0</v>
      </c>
      <c r="C487">
        <v>311.65736420000002</v>
      </c>
      <c r="D487" s="2">
        <f t="shared" si="43"/>
        <v>8.5273361038141534E-3</v>
      </c>
      <c r="E487" s="2">
        <f t="shared" ca="1" si="44"/>
        <v>3.5041304462183884</v>
      </c>
      <c r="F487">
        <f t="shared" ca="1" si="45"/>
        <v>3.4859899333412501</v>
      </c>
      <c r="G487" s="3">
        <f t="shared" ca="1" si="48"/>
        <v>1.7888139707790951</v>
      </c>
      <c r="H487">
        <f t="shared" ca="1" si="46"/>
        <v>1.9487716387987353</v>
      </c>
      <c r="I487">
        <f t="shared" ca="1" si="47"/>
        <v>-2.4975101024736399</v>
      </c>
    </row>
    <row r="488" spans="1:9" x14ac:dyDescent="0.3">
      <c r="A488" s="1">
        <v>40883</v>
      </c>
      <c r="B488" t="s">
        <v>0</v>
      </c>
      <c r="C488">
        <v>310.72086990000003</v>
      </c>
      <c r="D488" s="2">
        <f t="shared" si="43"/>
        <v>-3.0048842336965146E-3</v>
      </c>
      <c r="E488" s="2">
        <f t="shared" ca="1" si="44"/>
        <v>-1.8047894910777884</v>
      </c>
      <c r="F488">
        <f t="shared" ca="1" si="45"/>
        <v>-1.8140178694897056</v>
      </c>
      <c r="G488" s="3">
        <f t="shared" ca="1" si="48"/>
        <v>1.8079269937207938</v>
      </c>
      <c r="H488">
        <f t="shared" ca="1" si="46"/>
        <v>-1.0033689832554447</v>
      </c>
      <c r="I488">
        <f t="shared" ca="1" si="47"/>
        <v>-1.1910911489673899</v>
      </c>
    </row>
    <row r="489" spans="1:9" x14ac:dyDescent="0.3">
      <c r="A489" s="1">
        <v>40884</v>
      </c>
      <c r="B489" t="s">
        <v>0</v>
      </c>
      <c r="C489">
        <v>310.53159929999998</v>
      </c>
      <c r="D489" s="2">
        <f t="shared" si="43"/>
        <v>-6.0913385078046548E-4</v>
      </c>
      <c r="E489" s="2">
        <f t="shared" ca="1" si="44"/>
        <v>-2.6366758022292103E-2</v>
      </c>
      <c r="F489">
        <f t="shared" ca="1" si="45"/>
        <v>-3.0780749423046937E-2</v>
      </c>
      <c r="G489" s="3">
        <f t="shared" ca="1" si="48"/>
        <v>1.8080948618821688</v>
      </c>
      <c r="H489">
        <f t="shared" ca="1" si="46"/>
        <v>-1.7023857581789245E-2</v>
      </c>
      <c r="I489">
        <f t="shared" ca="1" si="47"/>
        <v>6.961339984272267</v>
      </c>
    </row>
    <row r="490" spans="1:9" x14ac:dyDescent="0.3">
      <c r="A490" s="1">
        <v>40885</v>
      </c>
      <c r="B490" t="s">
        <v>0</v>
      </c>
      <c r="C490">
        <v>306.87528209999999</v>
      </c>
      <c r="D490" s="2">
        <f t="shared" si="43"/>
        <v>-1.1774380476067672E-2</v>
      </c>
      <c r="E490" s="2">
        <f t="shared" ca="1" si="44"/>
        <v>0.80324440710849365</v>
      </c>
      <c r="F490">
        <f t="shared" ca="1" si="45"/>
        <v>0.80529716126080075</v>
      </c>
      <c r="G490" s="3">
        <f t="shared" ca="1" si="48"/>
        <v>1.8015583207228825</v>
      </c>
      <c r="H490">
        <f t="shared" ca="1" si="46"/>
        <v>0.44700032854760541</v>
      </c>
      <c r="I490">
        <f t="shared" ca="1" si="47"/>
        <v>0.43287407212818424</v>
      </c>
    </row>
    <row r="491" spans="1:9" x14ac:dyDescent="0.3">
      <c r="A491" s="1">
        <v>40886</v>
      </c>
      <c r="B491" t="s">
        <v>0</v>
      </c>
      <c r="C491">
        <v>312.53907980000002</v>
      </c>
      <c r="D491" s="2">
        <f t="shared" si="43"/>
        <v>1.8456350284199161E-2</v>
      </c>
      <c r="E491" s="2">
        <f t="shared" ca="1" si="44"/>
        <v>4.2134455947260516</v>
      </c>
      <c r="F491">
        <f t="shared" ca="1" si="45"/>
        <v>4.2173356137053579</v>
      </c>
      <c r="G491" s="3">
        <f t="shared" ca="1" si="48"/>
        <v>1.796433774488625</v>
      </c>
      <c r="H491">
        <f t="shared" ca="1" si="46"/>
        <v>2.3476154109303975</v>
      </c>
      <c r="I491">
        <f t="shared" ca="1" si="47"/>
        <v>-2.8784262670311036</v>
      </c>
    </row>
    <row r="492" spans="1:9" x14ac:dyDescent="0.3">
      <c r="A492" s="1">
        <v>40889</v>
      </c>
      <c r="B492" t="s">
        <v>0</v>
      </c>
      <c r="C492">
        <v>311.52784759999997</v>
      </c>
      <c r="D492" s="2">
        <f t="shared" si="43"/>
        <v>-3.2355384185784363E-3</v>
      </c>
      <c r="E492" s="2">
        <f t="shared" ca="1" si="44"/>
        <v>-0.85003891947672816</v>
      </c>
      <c r="F492">
        <f t="shared" ca="1" si="45"/>
        <v>-0.84821009745028342</v>
      </c>
      <c r="G492" s="3">
        <f t="shared" ca="1" si="48"/>
        <v>1.8266611507367532</v>
      </c>
      <c r="H492">
        <f t="shared" ca="1" si="46"/>
        <v>-0.46434999567827456</v>
      </c>
      <c r="I492">
        <f t="shared" ca="1" si="47"/>
        <v>0.32923928412010373</v>
      </c>
    </row>
    <row r="493" spans="1:9" x14ac:dyDescent="0.3">
      <c r="A493" s="1">
        <v>40890</v>
      </c>
      <c r="B493" t="s">
        <v>0</v>
      </c>
      <c r="C493">
        <v>311.64741550000002</v>
      </c>
      <c r="D493" s="2">
        <f t="shared" si="43"/>
        <v>3.838112737631536E-4</v>
      </c>
      <c r="E493" s="2">
        <f t="shared" ca="1" si="44"/>
        <v>2.0203950293226913E-3</v>
      </c>
      <c r="F493">
        <f t="shared" ca="1" si="45"/>
        <v>-8.5075876064407731E-3</v>
      </c>
      <c r="G493" s="3">
        <f t="shared" ca="1" si="48"/>
        <v>1.8213293518335101</v>
      </c>
      <c r="H493">
        <f t="shared" ca="1" si="46"/>
        <v>-4.6710868618442284E-3</v>
      </c>
      <c r="I493">
        <f t="shared" ca="1" si="47"/>
        <v>9.5315584355358727</v>
      </c>
    </row>
    <row r="494" spans="1:9" x14ac:dyDescent="0.3">
      <c r="A494" s="1">
        <v>40891</v>
      </c>
      <c r="B494" t="s">
        <v>0</v>
      </c>
      <c r="C494">
        <v>307.88150949999999</v>
      </c>
      <c r="D494" s="2">
        <f t="shared" si="43"/>
        <v>-1.2083867257355867E-2</v>
      </c>
      <c r="E494" s="2">
        <f t="shared" ca="1" si="44"/>
        <v>-0.52336354139777408</v>
      </c>
      <c r="F494">
        <f t="shared" ca="1" si="45"/>
        <v>-0.52146322156673841</v>
      </c>
      <c r="G494" s="3">
        <f t="shared" ca="1" si="48"/>
        <v>1.8146363873458085</v>
      </c>
      <c r="H494">
        <f t="shared" ca="1" si="46"/>
        <v>-0.28736513011813924</v>
      </c>
      <c r="I494">
        <f t="shared" ca="1" si="47"/>
        <v>1.3016960747668649</v>
      </c>
    </row>
    <row r="495" spans="1:9" x14ac:dyDescent="0.3">
      <c r="A495" s="1">
        <v>40892</v>
      </c>
      <c r="B495" t="s">
        <v>0</v>
      </c>
      <c r="C495">
        <v>308.61377979999997</v>
      </c>
      <c r="D495" s="2">
        <f t="shared" si="43"/>
        <v>2.378415973044922E-3</v>
      </c>
      <c r="E495" s="2">
        <f t="shared" ca="1" si="44"/>
        <v>1.1733566133245119</v>
      </c>
      <c r="F495">
        <f t="shared" ca="1" si="45"/>
        <v>1.1767206069162457</v>
      </c>
      <c r="G495" s="3">
        <f t="shared" ca="1" si="48"/>
        <v>1.8085702307161453</v>
      </c>
      <c r="H495">
        <f t="shared" ca="1" si="46"/>
        <v>0.6506358375976895</v>
      </c>
      <c r="I495">
        <f t="shared" ca="1" si="47"/>
        <v>-0.32546693094316548</v>
      </c>
    </row>
    <row r="496" spans="1:9" x14ac:dyDescent="0.3">
      <c r="A496" s="1">
        <v>40893</v>
      </c>
      <c r="B496" t="s">
        <v>0</v>
      </c>
      <c r="C496">
        <v>311.81178340000002</v>
      </c>
      <c r="D496" s="2">
        <f t="shared" si="43"/>
        <v>1.0362478312123799E-2</v>
      </c>
      <c r="E496" s="2">
        <f t="shared" ca="1" si="44"/>
        <v>1.1407280208476076</v>
      </c>
      <c r="F496">
        <f t="shared" ca="1" si="45"/>
        <v>1.1475434436379162</v>
      </c>
      <c r="G496" s="3">
        <f t="shared" ca="1" si="48"/>
        <v>1.8048473462409478</v>
      </c>
      <c r="H496">
        <f t="shared" ca="1" si="46"/>
        <v>0.63581191286230732</v>
      </c>
      <c r="I496">
        <f t="shared" ca="1" si="47"/>
        <v>-0.27532858666481036</v>
      </c>
    </row>
    <row r="497" spans="1:9" x14ac:dyDescent="0.3">
      <c r="A497" s="1">
        <v>40896</v>
      </c>
      <c r="B497" t="s">
        <v>0</v>
      </c>
      <c r="C497">
        <v>309.75449859999998</v>
      </c>
      <c r="D497" s="2">
        <f t="shared" si="43"/>
        <v>-6.5978417414742493E-3</v>
      </c>
      <c r="E497" s="2">
        <f t="shared" ca="1" si="44"/>
        <v>1.7925243896178629</v>
      </c>
      <c r="F497">
        <f t="shared" ca="1" si="45"/>
        <v>1.787953624934441</v>
      </c>
      <c r="G497" s="3">
        <f t="shared" ca="1" si="48"/>
        <v>1.8010466022683296</v>
      </c>
      <c r="H497">
        <f t="shared" ca="1" si="46"/>
        <v>0.9927303506098073</v>
      </c>
      <c r="I497">
        <f t="shared" ca="1" si="47"/>
        <v>-1.1621570964636569</v>
      </c>
    </row>
    <row r="498" spans="1:9" x14ac:dyDescent="0.3">
      <c r="A498" s="1">
        <v>40897</v>
      </c>
      <c r="B498" t="s">
        <v>0</v>
      </c>
      <c r="C498">
        <v>314.00856429999999</v>
      </c>
      <c r="D498" s="2">
        <f t="shared" si="43"/>
        <v>1.3733668822332359E-2</v>
      </c>
      <c r="E498" s="2">
        <f t="shared" ca="1" si="44"/>
        <v>2.222288415590544</v>
      </c>
      <c r="F498">
        <f t="shared" ca="1" si="45"/>
        <v>2.2178029829550607</v>
      </c>
      <c r="G498" s="3">
        <f t="shared" ca="1" si="48"/>
        <v>1.8011787895344413</v>
      </c>
      <c r="H498">
        <f t="shared" ca="1" si="46"/>
        <v>1.2313064065829391</v>
      </c>
      <c r="I498">
        <f t="shared" ca="1" si="47"/>
        <v>-1.5930724637158322</v>
      </c>
    </row>
    <row r="499" spans="1:9" x14ac:dyDescent="0.3">
      <c r="A499" s="1">
        <v>40898</v>
      </c>
      <c r="B499" t="s">
        <v>0</v>
      </c>
      <c r="C499">
        <v>311.74205080000002</v>
      </c>
      <c r="D499" s="2">
        <f t="shared" si="43"/>
        <v>-7.2179989900994354E-3</v>
      </c>
      <c r="E499" s="2">
        <f t="shared" ca="1" si="44"/>
        <v>-1.0301506510153695</v>
      </c>
      <c r="F499">
        <f t="shared" ca="1" si="45"/>
        <v>-1.030137102165835</v>
      </c>
      <c r="G499" s="3">
        <f t="shared" ca="1" si="48"/>
        <v>1.8048457163237068</v>
      </c>
      <c r="H499">
        <f t="shared" ca="1" si="46"/>
        <v>-0.5707618622738142</v>
      </c>
      <c r="I499">
        <f t="shared" ca="1" si="47"/>
        <v>-5.9432900277845382E-2</v>
      </c>
    </row>
    <row r="500" spans="1:9" x14ac:dyDescent="0.3">
      <c r="A500" s="1">
        <v>40899</v>
      </c>
      <c r="B500" t="s">
        <v>0</v>
      </c>
      <c r="C500">
        <v>313.67482380000001</v>
      </c>
      <c r="D500" s="2">
        <f t="shared" si="43"/>
        <v>6.1999110964981096E-3</v>
      </c>
      <c r="E500" s="2">
        <f t="shared" ca="1" si="44"/>
        <v>0.27004243879413536</v>
      </c>
      <c r="F500">
        <f t="shared" ca="1" si="45"/>
        <v>0.26364268641983973</v>
      </c>
      <c r="G500" s="3">
        <f t="shared" ca="1" si="48"/>
        <v>1.8005211613701315</v>
      </c>
      <c r="H500">
        <f t="shared" ca="1" si="46"/>
        <v>0.1464257638711767</v>
      </c>
      <c r="I500">
        <f t="shared" ca="1" si="47"/>
        <v>2.6657680879885772</v>
      </c>
    </row>
    <row r="501" spans="1:9" x14ac:dyDescent="0.3">
      <c r="A501" s="1">
        <v>40900</v>
      </c>
      <c r="B501" t="s">
        <v>0</v>
      </c>
      <c r="C501">
        <v>315.3883889</v>
      </c>
      <c r="D501" s="2">
        <f t="shared" si="43"/>
        <v>5.4628710052055584E-3</v>
      </c>
      <c r="E501" s="2">
        <f t="shared" ca="1" si="44"/>
        <v>-0.46163869387729012</v>
      </c>
      <c r="F501">
        <f t="shared" ca="1" si="45"/>
        <v>-0.45899266896558344</v>
      </c>
      <c r="G501" s="3">
        <f t="shared" ca="1" si="48"/>
        <v>1.7942151534446416</v>
      </c>
      <c r="H501">
        <f t="shared" ca="1" si="46"/>
        <v>-0.25581807626826797</v>
      </c>
      <c r="I501">
        <f t="shared" ca="1" si="47"/>
        <v>1.5573004270975919</v>
      </c>
    </row>
    <row r="502" spans="1:9" x14ac:dyDescent="0.3">
      <c r="A502" s="1">
        <v>40904</v>
      </c>
      <c r="B502" t="s">
        <v>0</v>
      </c>
      <c r="C502">
        <v>318.93011209999997</v>
      </c>
      <c r="D502" s="2">
        <f t="shared" si="43"/>
        <v>1.1229719687375525E-2</v>
      </c>
      <c r="E502" s="2">
        <f t="shared" ca="1" si="44"/>
        <v>0.73174160755004536</v>
      </c>
      <c r="F502">
        <f t="shared" ca="1" si="45"/>
        <v>0.72625210404416207</v>
      </c>
      <c r="G502" s="3">
        <f t="shared" ca="1" si="48"/>
        <v>1.7882795669210376</v>
      </c>
      <c r="H502">
        <f t="shared" ca="1" si="46"/>
        <v>0.40611776675085731</v>
      </c>
      <c r="I502">
        <f t="shared" ca="1" si="47"/>
        <v>0.63947705648327069</v>
      </c>
    </row>
    <row r="503" spans="1:9" x14ac:dyDescent="0.3">
      <c r="A503" s="1">
        <v>40905</v>
      </c>
      <c r="B503" t="s">
        <v>0</v>
      </c>
      <c r="C503">
        <v>318.65615550000001</v>
      </c>
      <c r="D503" s="2">
        <f t="shared" si="43"/>
        <v>-8.5898630955882926E-4</v>
      </c>
      <c r="E503" s="2">
        <f t="shared" ca="1" si="44"/>
        <v>-0.53731884054461465</v>
      </c>
      <c r="F503">
        <f t="shared" ca="1" si="45"/>
        <v>-0.54406886659752718</v>
      </c>
      <c r="G503" s="3">
        <f t="shared" ca="1" si="48"/>
        <v>1.783086115636936</v>
      </c>
      <c r="H503">
        <f t="shared" ca="1" si="46"/>
        <v>-0.30512764460800057</v>
      </c>
      <c r="I503">
        <f t="shared" ca="1" si="47"/>
        <v>1.2173564015868064</v>
      </c>
    </row>
    <row r="504" spans="1:9" x14ac:dyDescent="0.3">
      <c r="A504" s="1">
        <v>40906</v>
      </c>
      <c r="B504" t="s">
        <v>0</v>
      </c>
      <c r="C504">
        <v>320.00109780000003</v>
      </c>
      <c r="D504" s="2">
        <f t="shared" si="43"/>
        <v>4.2206694482009267E-3</v>
      </c>
      <c r="E504" s="2">
        <f t="shared" ca="1" si="44"/>
        <v>0.33841096763374889</v>
      </c>
      <c r="F504">
        <f t="shared" ca="1" si="45"/>
        <v>0.33167437829961344</v>
      </c>
      <c r="G504" s="3">
        <f t="shared" ca="1" si="48"/>
        <v>1.7774716226862315</v>
      </c>
      <c r="H504">
        <f t="shared" ca="1" si="46"/>
        <v>0.18659897242036719</v>
      </c>
      <c r="I504">
        <f t="shared" ca="1" si="47"/>
        <v>2.2070412249200722</v>
      </c>
    </row>
    <row r="505" spans="1:9" x14ac:dyDescent="0.3">
      <c r="A505" s="1">
        <v>40907</v>
      </c>
      <c r="B505" t="s">
        <v>0</v>
      </c>
      <c r="C505">
        <v>321.74457039999999</v>
      </c>
      <c r="D505" s="2">
        <f t="shared" si="43"/>
        <v>5.4483331838118499E-3</v>
      </c>
      <c r="E505" s="2">
        <f t="shared" ca="1" si="44"/>
        <v>-0.18749499800170849</v>
      </c>
      <c r="F505">
        <f t="shared" ca="1" si="45"/>
        <v>-0.1882185678288448</v>
      </c>
      <c r="G505" s="3">
        <f t="shared" ca="1" si="48"/>
        <v>1.7715302069948824</v>
      </c>
      <c r="H505">
        <f t="shared" ca="1" si="46"/>
        <v>-0.10624632144891703</v>
      </c>
      <c r="I505">
        <f t="shared" ca="1" si="47"/>
        <v>3.3394648735419858</v>
      </c>
    </row>
    <row r="506" spans="1:9" x14ac:dyDescent="0.3">
      <c r="A506" s="1">
        <v>40911</v>
      </c>
      <c r="B506" t="s">
        <v>0</v>
      </c>
      <c r="C506">
        <v>331.46315370000002</v>
      </c>
      <c r="D506" s="2">
        <f t="shared" si="43"/>
        <v>3.0205896832750514E-2</v>
      </c>
      <c r="E506" s="2">
        <f t="shared" ca="1" si="44"/>
        <v>-0.14242628155259585</v>
      </c>
      <c r="F506">
        <f t="shared" ca="1" si="45"/>
        <v>-0.14667898314418984</v>
      </c>
      <c r="G506" s="3">
        <f t="shared" ca="1" si="48"/>
        <v>1.7654999044655211</v>
      </c>
      <c r="H506">
        <f t="shared" ca="1" si="46"/>
        <v>-8.3080708627166266E-2</v>
      </c>
      <c r="I506">
        <f t="shared" ca="1" si="47"/>
        <v>3.7966097466009296</v>
      </c>
    </row>
    <row r="507" spans="1:9" x14ac:dyDescent="0.3">
      <c r="A507" s="1">
        <v>40912</v>
      </c>
      <c r="B507" t="s">
        <v>0</v>
      </c>
      <c r="C507">
        <v>332.89281299999999</v>
      </c>
      <c r="D507" s="2">
        <f t="shared" si="43"/>
        <v>4.3131771481723178E-3</v>
      </c>
      <c r="E507" s="2">
        <f t="shared" ca="1" si="44"/>
        <v>-4.432561676823858</v>
      </c>
      <c r="F507">
        <f t="shared" ca="1" si="45"/>
        <v>-4.4449606904420804</v>
      </c>
      <c r="G507" s="3">
        <f t="shared" ca="1" si="48"/>
        <v>1.7595116352139326</v>
      </c>
      <c r="H507">
        <f t="shared" ca="1" si="46"/>
        <v>-2.5262468297924237</v>
      </c>
      <c r="I507">
        <f t="shared" ca="1" si="47"/>
        <v>-2.9835429923466381</v>
      </c>
    </row>
    <row r="508" spans="1:9" x14ac:dyDescent="0.3">
      <c r="A508" s="1">
        <v>40913</v>
      </c>
      <c r="B508" t="s">
        <v>0</v>
      </c>
      <c r="C508">
        <v>328.27509880000002</v>
      </c>
      <c r="D508" s="2">
        <f t="shared" si="43"/>
        <v>-1.3871474599843543E-2</v>
      </c>
      <c r="E508" s="2">
        <f t="shared" ca="1" si="44"/>
        <v>0.92799531515505118</v>
      </c>
      <c r="F508">
        <f t="shared" ca="1" si="45"/>
        <v>0.90790016258127426</v>
      </c>
      <c r="G508" s="3">
        <f t="shared" ca="1" si="48"/>
        <v>1.7967560404669825</v>
      </c>
      <c r="H508">
        <f t="shared" ca="1" si="46"/>
        <v>0.50529963007404621</v>
      </c>
      <c r="I508">
        <f t="shared" ca="1" si="47"/>
        <v>0.19300828239365969</v>
      </c>
    </row>
    <row r="509" spans="1:9" x14ac:dyDescent="0.3">
      <c r="A509" s="1">
        <v>40914</v>
      </c>
      <c r="B509" t="s">
        <v>0</v>
      </c>
      <c r="C509">
        <v>323.7968808</v>
      </c>
      <c r="D509" s="2">
        <f t="shared" si="43"/>
        <v>-1.3641662180195881E-2</v>
      </c>
      <c r="E509" s="2">
        <f t="shared" ca="1" si="44"/>
        <v>3.6003888183085615</v>
      </c>
      <c r="F509">
        <f t="shared" ca="1" si="45"/>
        <v>3.6018390114770185</v>
      </c>
      <c r="G509" s="3">
        <f t="shared" ca="1" si="48"/>
        <v>1.7920638549301355</v>
      </c>
      <c r="H509">
        <f t="shared" ca="1" si="46"/>
        <v>2.0098831866777638</v>
      </c>
      <c r="I509">
        <f t="shared" ca="1" si="47"/>
        <v>-2.5629034476206618</v>
      </c>
    </row>
    <row r="510" spans="1:9" x14ac:dyDescent="0.3">
      <c r="A510" s="1">
        <v>40917</v>
      </c>
      <c r="B510" t="s">
        <v>0</v>
      </c>
      <c r="C510">
        <v>310.0683113</v>
      </c>
      <c r="D510" s="2">
        <f t="shared" si="43"/>
        <v>-4.2398708307754621E-2</v>
      </c>
      <c r="E510" s="2">
        <f t="shared" ca="1" si="44"/>
        <v>2.5551253200132553</v>
      </c>
      <c r="F510">
        <f t="shared" ca="1" si="45"/>
        <v>2.5678305136528934</v>
      </c>
      <c r="G510" s="3">
        <f t="shared" ca="1" si="48"/>
        <v>1.8126981534492674</v>
      </c>
      <c r="H510">
        <f t="shared" ca="1" si="46"/>
        <v>1.4165792075016641</v>
      </c>
      <c r="I510">
        <f t="shared" ca="1" si="47"/>
        <v>-1.8863953978945571</v>
      </c>
    </row>
    <row r="511" spans="1:9" x14ac:dyDescent="0.3">
      <c r="A511" s="1">
        <v>40918</v>
      </c>
      <c r="B511" t="s">
        <v>0</v>
      </c>
      <c r="C511">
        <v>310.40705709999997</v>
      </c>
      <c r="D511" s="2">
        <f t="shared" si="43"/>
        <v>1.0924876475759027E-3</v>
      </c>
      <c r="E511" s="2">
        <f t="shared" ca="1" si="44"/>
        <v>-0.84969300895988764</v>
      </c>
      <c r="F511">
        <f t="shared" ca="1" si="45"/>
        <v>-0.8285565614272471</v>
      </c>
      <c r="G511" s="3">
        <f t="shared" ca="1" si="48"/>
        <v>1.8194101730605998</v>
      </c>
      <c r="H511">
        <f t="shared" ca="1" si="46"/>
        <v>-0.45539844378986555</v>
      </c>
      <c r="I511">
        <f t="shared" ca="1" si="47"/>
        <v>0.37613861098167301</v>
      </c>
    </row>
    <row r="512" spans="1:9" x14ac:dyDescent="0.3">
      <c r="A512" s="1">
        <v>40919</v>
      </c>
      <c r="B512" t="s">
        <v>0</v>
      </c>
      <c r="C512">
        <v>311.81178340000002</v>
      </c>
      <c r="D512" s="2">
        <f t="shared" si="43"/>
        <v>4.5254328723187071E-3</v>
      </c>
      <c r="E512" s="2">
        <f t="shared" ca="1" si="44"/>
        <v>-0.70472310878561828</v>
      </c>
      <c r="F512">
        <f t="shared" ca="1" si="45"/>
        <v>-0.67864731519587262</v>
      </c>
      <c r="G512" s="3">
        <f t="shared" ca="1" si="48"/>
        <v>1.8141139110168059</v>
      </c>
      <c r="H512">
        <f t="shared" ca="1" si="46"/>
        <v>-0.37409299993487877</v>
      </c>
      <c r="I512">
        <f t="shared" ca="1" si="47"/>
        <v>0.77526294228135939</v>
      </c>
    </row>
    <row r="513" spans="1:9" x14ac:dyDescent="0.3">
      <c r="A513" s="1">
        <v>40920</v>
      </c>
      <c r="B513" t="s">
        <v>0</v>
      </c>
      <c r="C513">
        <v>313.6449164</v>
      </c>
      <c r="D513" s="2">
        <f t="shared" si="43"/>
        <v>5.8789728213971505E-3</v>
      </c>
      <c r="E513" s="2">
        <f t="shared" ca="1" si="44"/>
        <v>-1.1670670945294164</v>
      </c>
      <c r="F513">
        <f t="shared" ca="1" si="45"/>
        <v>-1.1690967106659498</v>
      </c>
      <c r="G513" s="3">
        <f t="shared" ca="1" si="48"/>
        <v>1.8084353072676191</v>
      </c>
      <c r="H513">
        <f t="shared" ca="1" si="46"/>
        <v>-0.64646863836802015</v>
      </c>
      <c r="I513">
        <f t="shared" ca="1" si="47"/>
        <v>-0.312488104206328</v>
      </c>
    </row>
    <row r="514" spans="1:9" x14ac:dyDescent="0.3">
      <c r="A514" s="1">
        <v>40921</v>
      </c>
      <c r="B514" t="s">
        <v>0</v>
      </c>
      <c r="C514">
        <v>311.328598</v>
      </c>
      <c r="D514" s="2">
        <f t="shared" si="43"/>
        <v>-7.3851616234899709E-3</v>
      </c>
      <c r="E514" s="2">
        <f t="shared" ca="1" si="44"/>
        <v>3.8431514931873783</v>
      </c>
      <c r="F514">
        <f t="shared" ca="1" si="45"/>
        <v>3.83858061456074</v>
      </c>
      <c r="G514" s="3">
        <f t="shared" ca="1" si="48"/>
        <v>1.8046782143081579</v>
      </c>
      <c r="H514">
        <f t="shared" ca="1" si="46"/>
        <v>2.127016652679159</v>
      </c>
      <c r="I514">
        <f t="shared" ca="1" si="47"/>
        <v>-2.6902090347963106</v>
      </c>
    </row>
    <row r="515" spans="1:9" x14ac:dyDescent="0.3">
      <c r="A515" s="1">
        <v>40925</v>
      </c>
      <c r="B515" t="s">
        <v>0</v>
      </c>
      <c r="C515">
        <v>313.11690049999999</v>
      </c>
      <c r="D515" s="2">
        <f t="shared" si="43"/>
        <v>5.7440996795289139E-3</v>
      </c>
      <c r="E515" s="2">
        <f t="shared" ca="1" si="44"/>
        <v>0.28516639096423574</v>
      </c>
      <c r="F515">
        <f t="shared" ca="1" si="45"/>
        <v>0.28370757397148361</v>
      </c>
      <c r="G515" s="3">
        <f t="shared" ca="1" si="48"/>
        <v>1.8281682776425066</v>
      </c>
      <c r="H515">
        <f t="shared" ca="1" si="46"/>
        <v>0.15518679403918739</v>
      </c>
      <c r="I515">
        <f t="shared" ca="1" si="47"/>
        <v>2.5192125580168292</v>
      </c>
    </row>
    <row r="516" spans="1:9" x14ac:dyDescent="0.3">
      <c r="A516" s="1">
        <v>40926</v>
      </c>
      <c r="B516" t="s">
        <v>0</v>
      </c>
      <c r="C516">
        <v>315.2738253</v>
      </c>
      <c r="D516" s="2">
        <f t="shared" ref="D516:D579" si="49">(C516-C515)/C515</f>
        <v>6.8885607789159024E-3</v>
      </c>
      <c r="E516" s="2">
        <f t="shared" ca="1" si="44"/>
        <v>3.1855205361001149</v>
      </c>
      <c r="F516">
        <f t="shared" ca="1" si="45"/>
        <v>3.1884065598435671</v>
      </c>
      <c r="G516" s="3">
        <f t="shared" ca="1" si="48"/>
        <v>1.821554466048237</v>
      </c>
      <c r="H516">
        <f t="shared" ca="1" si="46"/>
        <v>1.7503767355146076</v>
      </c>
      <c r="I516">
        <f t="shared" ca="1" si="47"/>
        <v>-2.3190472297291183</v>
      </c>
    </row>
    <row r="517" spans="1:9" x14ac:dyDescent="0.3">
      <c r="A517" s="1">
        <v>40927</v>
      </c>
      <c r="B517" t="s">
        <v>0</v>
      </c>
      <c r="C517">
        <v>318.59139720000002</v>
      </c>
      <c r="D517" s="2">
        <f t="shared" si="49"/>
        <v>1.0522826932566225E-2</v>
      </c>
      <c r="E517" s="2">
        <f t="shared" ca="1" si="44"/>
        <v>-0.92966193410198072</v>
      </c>
      <c r="F517">
        <f t="shared" ca="1" si="45"/>
        <v>-0.93529269676321725</v>
      </c>
      <c r="G517" s="3">
        <f t="shared" ca="1" si="48"/>
        <v>1.8350361256011147</v>
      </c>
      <c r="H517">
        <f t="shared" ca="1" si="46"/>
        <v>-0.50968625833283654</v>
      </c>
      <c r="I517">
        <f t="shared" ca="1" si="47"/>
        <v>0.13366492666696181</v>
      </c>
    </row>
    <row r="518" spans="1:9" x14ac:dyDescent="0.3">
      <c r="A518" s="1">
        <v>40928</v>
      </c>
      <c r="B518" t="s">
        <v>0</v>
      </c>
      <c r="C518">
        <v>291.90137950000002</v>
      </c>
      <c r="D518" s="2">
        <f t="shared" si="49"/>
        <v>-8.3775073446961223E-2</v>
      </c>
      <c r="E518" s="2">
        <f t="shared" ref="E518:E581" ca="1" si="50">$N$9*D517+$N$10*D516+F518</f>
        <v>-0.8654438642213006</v>
      </c>
      <c r="F518">
        <f t="shared" ref="F518:F581" ca="1" si="51">G518*H518</f>
        <v>-0.87287089159859832</v>
      </c>
      <c r="G518" s="3">
        <f t="shared" ca="1" si="48"/>
        <v>1.8298906746303265</v>
      </c>
      <c r="H518">
        <f t="shared" ref="H518:H581" ca="1" si="52">_xlfn.NORM.S.INV(RAND())</f>
        <v>-0.47700712599944539</v>
      </c>
      <c r="I518">
        <f t="shared" ref="I518:I581" ca="1" si="53">-LN(F518^2)-(D518^2)/(F518^2)</f>
        <v>0.26272376492284327</v>
      </c>
    </row>
    <row r="519" spans="1:9" x14ac:dyDescent="0.3">
      <c r="A519" s="1">
        <v>40931</v>
      </c>
      <c r="B519" t="s">
        <v>0</v>
      </c>
      <c r="C519">
        <v>291.66724809999999</v>
      </c>
      <c r="D519" s="2">
        <f t="shared" si="49"/>
        <v>-8.0209076230153221E-4</v>
      </c>
      <c r="E519" s="2">
        <f t="shared" ca="1" si="50"/>
        <v>1.6731751895204292</v>
      </c>
      <c r="F519">
        <f t="shared" ca="1" si="51"/>
        <v>1.6916014916211342</v>
      </c>
      <c r="G519" s="3">
        <f t="shared" ref="G519:G582" ca="1" si="54">SQRT($N$6+$N$7*(H518^2)+$N$8*(G518^2))</f>
        <v>1.8245973261946995</v>
      </c>
      <c r="H519">
        <f t="shared" ca="1" si="52"/>
        <v>0.92710948730209108</v>
      </c>
      <c r="I519">
        <f t="shared" ca="1" si="53"/>
        <v>-1.0513516416223474</v>
      </c>
    </row>
    <row r="520" spans="1:9" x14ac:dyDescent="0.3">
      <c r="A520" s="1">
        <v>40932</v>
      </c>
      <c r="B520" t="s">
        <v>0</v>
      </c>
      <c r="C520">
        <v>289.38083660000001</v>
      </c>
      <c r="D520" s="2">
        <f t="shared" si="49"/>
        <v>-7.8391095157042609E-3</v>
      </c>
      <c r="E520" s="2">
        <f t="shared" ca="1" si="50"/>
        <v>0.16354396441617239</v>
      </c>
      <c r="F520">
        <f t="shared" ca="1" si="51"/>
        <v>0.215949581747681</v>
      </c>
      <c r="G520" s="3">
        <f t="shared" ca="1" si="54"/>
        <v>1.8235399675051123</v>
      </c>
      <c r="H520">
        <f t="shared" ca="1" si="52"/>
        <v>0.11842327867545113</v>
      </c>
      <c r="I520">
        <f t="shared" ca="1" si="53"/>
        <v>3.0641028957924106</v>
      </c>
    </row>
    <row r="521" spans="1:9" x14ac:dyDescent="0.3">
      <c r="A521" s="1">
        <v>40933</v>
      </c>
      <c r="B521" t="s">
        <v>0</v>
      </c>
      <c r="C521">
        <v>283.682188</v>
      </c>
      <c r="D521" s="2">
        <f t="shared" si="49"/>
        <v>-1.9692556932776564E-2</v>
      </c>
      <c r="E521" s="2">
        <f t="shared" ca="1" si="50"/>
        <v>4.1881255436480975</v>
      </c>
      <c r="F521">
        <f t="shared" ca="1" si="51"/>
        <v>4.1909623544593915</v>
      </c>
      <c r="G521" s="3">
        <f t="shared" ca="1" si="54"/>
        <v>1.8169138729569525</v>
      </c>
      <c r="H521">
        <f t="shared" ca="1" si="52"/>
        <v>2.3066378747159724</v>
      </c>
      <c r="I521">
        <f t="shared" ca="1" si="53"/>
        <v>-2.8658828517237227</v>
      </c>
    </row>
    <row r="522" spans="1:9" x14ac:dyDescent="0.3">
      <c r="A522" s="1">
        <v>40934</v>
      </c>
      <c r="B522" t="s">
        <v>0</v>
      </c>
      <c r="C522">
        <v>282.98977339999999</v>
      </c>
      <c r="D522" s="2">
        <f t="shared" si="49"/>
        <v>-2.4408109824646672E-3</v>
      </c>
      <c r="E522" s="2">
        <f t="shared" ca="1" si="50"/>
        <v>3.6576915877170135</v>
      </c>
      <c r="F522">
        <f t="shared" ca="1" si="51"/>
        <v>3.6684446152390469</v>
      </c>
      <c r="G522" s="3">
        <f t="shared" ca="1" si="54"/>
        <v>1.8452579869248507</v>
      </c>
      <c r="H522">
        <f t="shared" ca="1" si="52"/>
        <v>1.9880388765326864</v>
      </c>
      <c r="I522">
        <f t="shared" ca="1" si="53"/>
        <v>-2.5995359660384083</v>
      </c>
    </row>
    <row r="523" spans="1:9" x14ac:dyDescent="0.3">
      <c r="A523" s="1">
        <v>40935</v>
      </c>
      <c r="B523" t="s">
        <v>0</v>
      </c>
      <c r="C523">
        <v>288.90759989999998</v>
      </c>
      <c r="D523" s="2">
        <f t="shared" si="49"/>
        <v>2.0911803380383179E-2</v>
      </c>
      <c r="E523" s="2">
        <f t="shared" ca="1" si="50"/>
        <v>0.6651623258461995</v>
      </c>
      <c r="F523">
        <f t="shared" ca="1" si="51"/>
        <v>0.67815258149965274</v>
      </c>
      <c r="G523" s="3">
        <f t="shared" ca="1" si="54"/>
        <v>1.8639478875559425</v>
      </c>
      <c r="H523">
        <f t="shared" ca="1" si="52"/>
        <v>0.36382593420509424</v>
      </c>
      <c r="I523">
        <f t="shared" ca="1" si="53"/>
        <v>0.77581505449902954</v>
      </c>
    </row>
    <row r="524" spans="1:9" x14ac:dyDescent="0.3">
      <c r="A524" s="1">
        <v>40938</v>
      </c>
      <c r="B524" t="s">
        <v>0</v>
      </c>
      <c r="C524">
        <v>287.76688159999998</v>
      </c>
      <c r="D524" s="2">
        <f t="shared" si="49"/>
        <v>-3.9483845367683018E-3</v>
      </c>
      <c r="E524" s="2">
        <f t="shared" ca="1" si="50"/>
        <v>-3.8648495427311889</v>
      </c>
      <c r="F524">
        <f t="shared" ca="1" si="51"/>
        <v>-3.8695648348604723</v>
      </c>
      <c r="G524" s="3">
        <f t="shared" ca="1" si="54"/>
        <v>1.8576185177500859</v>
      </c>
      <c r="H524">
        <f t="shared" ca="1" si="52"/>
        <v>-2.0830783058446358</v>
      </c>
      <c r="I524">
        <f t="shared" ca="1" si="53"/>
        <v>-2.7062851510465844</v>
      </c>
    </row>
    <row r="525" spans="1:9" x14ac:dyDescent="0.3">
      <c r="A525" s="1">
        <v>40939</v>
      </c>
      <c r="B525" t="s">
        <v>0</v>
      </c>
      <c r="C525">
        <v>288.97235819999997</v>
      </c>
      <c r="D525" s="2">
        <f t="shared" si="49"/>
        <v>4.1890734378378768E-3</v>
      </c>
      <c r="E525" s="2">
        <f t="shared" ca="1" si="50"/>
        <v>1.070944828222286</v>
      </c>
      <c r="F525">
        <f t="shared" ca="1" si="51"/>
        <v>1.0591003891290234</v>
      </c>
      <c r="G525" s="3">
        <f t="shared" ca="1" si="54"/>
        <v>1.8784759557905613</v>
      </c>
      <c r="H525">
        <f t="shared" ca="1" si="52"/>
        <v>0.56380832869553466</v>
      </c>
      <c r="I525">
        <f t="shared" ca="1" si="53"/>
        <v>-0.11485536106463842</v>
      </c>
    </row>
    <row r="526" spans="1:9" x14ac:dyDescent="0.3">
      <c r="A526" s="1">
        <v>40940</v>
      </c>
      <c r="B526" t="s">
        <v>0</v>
      </c>
      <c r="C526">
        <v>289.33100139999999</v>
      </c>
      <c r="D526" s="2">
        <f t="shared" si="49"/>
        <v>1.2410986373713902E-3</v>
      </c>
      <c r="E526" s="2">
        <f t="shared" ca="1" si="50"/>
        <v>0.82919932618499104</v>
      </c>
      <c r="F526">
        <f t="shared" ca="1" si="51"/>
        <v>0.83040893527020498</v>
      </c>
      <c r="G526" s="3">
        <f t="shared" ca="1" si="54"/>
        <v>1.8731643583710489</v>
      </c>
      <c r="H526">
        <f t="shared" ca="1" si="52"/>
        <v>0.44331877849328161</v>
      </c>
      <c r="I526">
        <f t="shared" ca="1" si="53"/>
        <v>0.37167177913734056</v>
      </c>
    </row>
    <row r="527" spans="1:9" x14ac:dyDescent="0.3">
      <c r="A527" s="1">
        <v>40941</v>
      </c>
      <c r="B527" t="s">
        <v>0</v>
      </c>
      <c r="C527">
        <v>291.46302400000002</v>
      </c>
      <c r="D527" s="2">
        <f t="shared" si="49"/>
        <v>7.3688010952290151E-3</v>
      </c>
      <c r="E527" s="2">
        <f t="shared" ca="1" si="50"/>
        <v>3.0593227319461516</v>
      </c>
      <c r="F527">
        <f t="shared" ca="1" si="51"/>
        <v>3.0563441570279477</v>
      </c>
      <c r="G527" s="3">
        <f t="shared" ca="1" si="54"/>
        <v>1.867138259423101</v>
      </c>
      <c r="H527">
        <f t="shared" ca="1" si="52"/>
        <v>1.6369136787825673</v>
      </c>
      <c r="I527">
        <f t="shared" ca="1" si="53"/>
        <v>-2.2344447764345126</v>
      </c>
    </row>
    <row r="528" spans="1:9" x14ac:dyDescent="0.3">
      <c r="A528" s="1">
        <v>40942</v>
      </c>
      <c r="B528" t="s">
        <v>0</v>
      </c>
      <c r="C528">
        <v>297.05208390000001</v>
      </c>
      <c r="D528" s="2">
        <f t="shared" si="49"/>
        <v>1.917587975070208E-2</v>
      </c>
      <c r="E528" s="2">
        <f t="shared" ca="1" si="50"/>
        <v>-0.5866592828571332</v>
      </c>
      <c r="F528">
        <f t="shared" ca="1" si="51"/>
        <v>-0.58962923270511258</v>
      </c>
      <c r="G528" s="3">
        <f t="shared" ca="1" si="54"/>
        <v>1.8771503618832754</v>
      </c>
      <c r="H528">
        <f t="shared" ca="1" si="52"/>
        <v>-0.31410868552562798</v>
      </c>
      <c r="I528">
        <f t="shared" ca="1" si="53"/>
        <v>1.0554650416949352</v>
      </c>
    </row>
    <row r="529" spans="1:9" x14ac:dyDescent="0.3">
      <c r="A529" s="1">
        <v>40945</v>
      </c>
      <c r="B529" t="s">
        <v>0</v>
      </c>
      <c r="C529">
        <v>303.40826579999998</v>
      </c>
      <c r="D529" s="2">
        <f t="shared" si="49"/>
        <v>2.1397533444470703E-2</v>
      </c>
      <c r="E529" s="2">
        <f t="shared" ca="1" si="50"/>
        <v>-1.307725521649965</v>
      </c>
      <c r="F529">
        <f t="shared" ca="1" si="51"/>
        <v>-1.3180316343920422</v>
      </c>
      <c r="G529" s="3">
        <f t="shared" ca="1" si="54"/>
        <v>1.8704472927961671</v>
      </c>
      <c r="H529">
        <f t="shared" ca="1" si="52"/>
        <v>-0.7046612002745567</v>
      </c>
      <c r="I529">
        <f t="shared" ca="1" si="53"/>
        <v>-0.55254243294519667</v>
      </c>
    </row>
    <row r="530" spans="1:9" x14ac:dyDescent="0.3">
      <c r="A530" s="1">
        <v>40946</v>
      </c>
      <c r="B530" t="s">
        <v>0</v>
      </c>
      <c r="C530">
        <v>302.25259360000001</v>
      </c>
      <c r="D530" s="2">
        <f t="shared" si="49"/>
        <v>-3.808967422007425E-3</v>
      </c>
      <c r="E530" s="2">
        <f t="shared" ca="1" si="50"/>
        <v>-0.1986723570640358</v>
      </c>
      <c r="F530">
        <f t="shared" ca="1" si="51"/>
        <v>-0.21699311904687416</v>
      </c>
      <c r="G530" s="3">
        <f t="shared" ca="1" si="54"/>
        <v>1.8663870588538256</v>
      </c>
      <c r="H530">
        <f t="shared" ca="1" si="52"/>
        <v>-0.11626372890740716</v>
      </c>
      <c r="I530">
        <f t="shared" ca="1" si="53"/>
        <v>3.055471148894418</v>
      </c>
    </row>
    <row r="531" spans="1:9" x14ac:dyDescent="0.3">
      <c r="A531" s="1">
        <v>40947</v>
      </c>
      <c r="B531" t="s">
        <v>0</v>
      </c>
      <c r="C531">
        <v>303.78686720000002</v>
      </c>
      <c r="D531" s="2">
        <f t="shared" si="49"/>
        <v>5.0761304699686316E-3</v>
      </c>
      <c r="E531" s="2">
        <f t="shared" ca="1" si="50"/>
        <v>0.95368619377237762</v>
      </c>
      <c r="F531">
        <f t="shared" ca="1" si="51"/>
        <v>0.94149772280678401</v>
      </c>
      <c r="G531" s="3">
        <f t="shared" ca="1" si="54"/>
        <v>1.8592604781103754</v>
      </c>
      <c r="H531">
        <f t="shared" ca="1" si="52"/>
        <v>0.50638290540315123</v>
      </c>
      <c r="I531">
        <f t="shared" ca="1" si="53"/>
        <v>0.12053763035511102</v>
      </c>
    </row>
    <row r="532" spans="1:9" x14ac:dyDescent="0.3">
      <c r="A532" s="1">
        <v>40948</v>
      </c>
      <c r="B532" t="s">
        <v>0</v>
      </c>
      <c r="C532">
        <v>304.58884030000002</v>
      </c>
      <c r="D532" s="2">
        <f t="shared" si="49"/>
        <v>2.6399202420821365E-3</v>
      </c>
      <c r="E532" s="2">
        <f t="shared" ca="1" si="50"/>
        <v>4.5528935811131976</v>
      </c>
      <c r="F532">
        <f t="shared" ca="1" si="51"/>
        <v>4.5537518858706587</v>
      </c>
      <c r="G532" s="3">
        <f t="shared" ca="1" si="54"/>
        <v>1.8537915362306265</v>
      </c>
      <c r="H532">
        <f t="shared" ca="1" si="52"/>
        <v>2.4564530568145475</v>
      </c>
      <c r="I532">
        <f t="shared" ca="1" si="53"/>
        <v>-3.0319033030327627</v>
      </c>
    </row>
    <row r="533" spans="1:9" x14ac:dyDescent="0.3">
      <c r="A533" s="1">
        <v>40949</v>
      </c>
      <c r="B533" t="s">
        <v>0</v>
      </c>
      <c r="C533">
        <v>301.82421770000002</v>
      </c>
      <c r="D533" s="2">
        <f t="shared" si="49"/>
        <v>-9.0765721990241788E-3</v>
      </c>
      <c r="E533" s="2">
        <f t="shared" ca="1" si="50"/>
        <v>0.97303432536765622</v>
      </c>
      <c r="F533">
        <f t="shared" ca="1" si="51"/>
        <v>0.96908630270482965</v>
      </c>
      <c r="G533" s="3">
        <f t="shared" ca="1" si="54"/>
        <v>1.8855840397591883</v>
      </c>
      <c r="H533">
        <f t="shared" ca="1" si="52"/>
        <v>0.5139449010337368</v>
      </c>
      <c r="I533">
        <f t="shared" ca="1" si="53"/>
        <v>6.2715490676763991E-2</v>
      </c>
    </row>
    <row r="534" spans="1:9" x14ac:dyDescent="0.3">
      <c r="A534" s="1">
        <v>40952</v>
      </c>
      <c r="B534" t="s">
        <v>0</v>
      </c>
      <c r="C534">
        <v>304.95746259999999</v>
      </c>
      <c r="D534" s="2">
        <f t="shared" si="49"/>
        <v>1.0381025498471674E-2</v>
      </c>
      <c r="E534" s="2">
        <f t="shared" ca="1" si="50"/>
        <v>2.2546828134974444</v>
      </c>
      <c r="F534">
        <f t="shared" ca="1" si="51"/>
        <v>2.2557452640289681</v>
      </c>
      <c r="G534" s="3">
        <f t="shared" ca="1" si="54"/>
        <v>1.8798402027752839</v>
      </c>
      <c r="H534">
        <f t="shared" ca="1" si="52"/>
        <v>1.1999664975239495</v>
      </c>
      <c r="I534">
        <f t="shared" ca="1" si="53"/>
        <v>-1.6269820035134017</v>
      </c>
    </row>
    <row r="535" spans="1:9" x14ac:dyDescent="0.3">
      <c r="A535" s="1">
        <v>40953</v>
      </c>
      <c r="B535" t="s">
        <v>0</v>
      </c>
      <c r="C535">
        <v>303.74203679999999</v>
      </c>
      <c r="D535" s="2">
        <f t="shared" si="49"/>
        <v>-3.9855584763774576E-3</v>
      </c>
      <c r="E535" s="2">
        <f t="shared" ca="1" si="50"/>
        <v>0.23260068276834833</v>
      </c>
      <c r="F535">
        <f t="shared" ca="1" si="51"/>
        <v>0.23515737126201469</v>
      </c>
      <c r="G535" s="3">
        <f t="shared" ca="1" si="54"/>
        <v>1.8816918453643947</v>
      </c>
      <c r="H535">
        <f t="shared" ca="1" si="52"/>
        <v>0.12497124427750061</v>
      </c>
      <c r="I535">
        <f t="shared" ca="1" si="53"/>
        <v>2.8947133972833452</v>
      </c>
    </row>
    <row r="536" spans="1:9" x14ac:dyDescent="0.3">
      <c r="A536" s="1">
        <v>40954</v>
      </c>
      <c r="B536" t="s">
        <v>0</v>
      </c>
      <c r="C536">
        <v>301.64987020000001</v>
      </c>
      <c r="D536" s="2">
        <f t="shared" si="49"/>
        <v>-6.8879718528310884E-3</v>
      </c>
      <c r="E536" s="2">
        <f t="shared" ca="1" si="50"/>
        <v>0.91790900255098606</v>
      </c>
      <c r="F536">
        <f t="shared" ca="1" si="51"/>
        <v>0.91263312805320851</v>
      </c>
      <c r="G536" s="3">
        <f t="shared" ca="1" si="54"/>
        <v>1.8744030072269184</v>
      </c>
      <c r="H536">
        <f t="shared" ca="1" si="52"/>
        <v>0.48689269305185423</v>
      </c>
      <c r="I536">
        <f t="shared" ca="1" si="53"/>
        <v>0.18278565815906123</v>
      </c>
    </row>
    <row r="537" spans="1:9" x14ac:dyDescent="0.3">
      <c r="A537" s="1">
        <v>40955</v>
      </c>
      <c r="B537" t="s">
        <v>0</v>
      </c>
      <c r="C537">
        <v>302.12808180000002</v>
      </c>
      <c r="D537" s="2">
        <f t="shared" si="49"/>
        <v>1.5853200920754407E-3</v>
      </c>
      <c r="E537" s="2">
        <f t="shared" ca="1" si="50"/>
        <v>-0.70011172722242943</v>
      </c>
      <c r="F537">
        <f t="shared" ca="1" si="51"/>
        <v>-0.69557617795859128</v>
      </c>
      <c r="G537" s="3">
        <f t="shared" ca="1" si="54"/>
        <v>1.8686226298851973</v>
      </c>
      <c r="H537">
        <f t="shared" ca="1" si="52"/>
        <v>-0.37224004827626722</v>
      </c>
      <c r="I537">
        <f t="shared" ca="1" si="53"/>
        <v>0.72602429317365147</v>
      </c>
    </row>
    <row r="538" spans="1:9" x14ac:dyDescent="0.3">
      <c r="A538" s="1">
        <v>40956</v>
      </c>
      <c r="B538" t="s">
        <v>0</v>
      </c>
      <c r="C538">
        <v>301.19158700000003</v>
      </c>
      <c r="D538" s="2">
        <f t="shared" si="49"/>
        <v>-3.0996615555250622E-3</v>
      </c>
      <c r="E538" s="2">
        <f t="shared" ca="1" si="50"/>
        <v>3.2071492052051527</v>
      </c>
      <c r="F538">
        <f t="shared" ca="1" si="51"/>
        <v>3.2109656348681619</v>
      </c>
      <c r="G538" s="3">
        <f t="shared" ca="1" si="54"/>
        <v>1.8622775004738683</v>
      </c>
      <c r="H538">
        <f t="shared" ca="1" si="52"/>
        <v>1.7242143740936091</v>
      </c>
      <c r="I538">
        <f t="shared" ca="1" si="53"/>
        <v>-2.3331443573453208</v>
      </c>
    </row>
    <row r="539" spans="1:9" x14ac:dyDescent="0.3">
      <c r="A539" s="1">
        <v>40960</v>
      </c>
      <c r="B539" t="s">
        <v>0</v>
      </c>
      <c r="C539">
        <v>305.8541012</v>
      </c>
      <c r="D539" s="2">
        <f t="shared" si="49"/>
        <v>1.5480227208338243E-2</v>
      </c>
      <c r="E539" s="2">
        <f t="shared" ca="1" si="50"/>
        <v>-1.0204135421330611</v>
      </c>
      <c r="F539">
        <f t="shared" ca="1" si="51"/>
        <v>-1.0204765037659247</v>
      </c>
      <c r="G539" s="3">
        <f t="shared" ca="1" si="54"/>
        <v>1.8742721243319047</v>
      </c>
      <c r="H539">
        <f t="shared" ca="1" si="52"/>
        <v>-0.54446549704178071</v>
      </c>
      <c r="I539">
        <f t="shared" ca="1" si="53"/>
        <v>-4.0769474498397608E-2</v>
      </c>
    </row>
    <row r="540" spans="1:9" x14ac:dyDescent="0.3">
      <c r="A540" s="1">
        <v>40961</v>
      </c>
      <c r="B540" t="s">
        <v>0</v>
      </c>
      <c r="C540">
        <v>302.835419</v>
      </c>
      <c r="D540" s="2">
        <f t="shared" si="49"/>
        <v>-9.8696803088674772E-3</v>
      </c>
      <c r="E540" s="2">
        <f t="shared" ca="1" si="50"/>
        <v>1.2912283745160555</v>
      </c>
      <c r="F540">
        <f t="shared" ca="1" si="51"/>
        <v>1.2885428547651721</v>
      </c>
      <c r="G540" s="3">
        <f t="shared" ca="1" si="54"/>
        <v>1.8688752435942189</v>
      </c>
      <c r="H540">
        <f t="shared" ca="1" si="52"/>
        <v>0.6894750514684157</v>
      </c>
      <c r="I540">
        <f t="shared" ca="1" si="53"/>
        <v>-0.50708268892467911</v>
      </c>
    </row>
    <row r="541" spans="1:9" x14ac:dyDescent="0.3">
      <c r="A541" s="1">
        <v>40962</v>
      </c>
      <c r="B541" t="s">
        <v>0</v>
      </c>
      <c r="C541">
        <v>301.92382689999999</v>
      </c>
      <c r="D541" s="2">
        <f t="shared" si="49"/>
        <v>-3.0101898351592984E-3</v>
      </c>
      <c r="E541" s="2">
        <f t="shared" ca="1" si="50"/>
        <v>-0.21505246476221396</v>
      </c>
      <c r="F541">
        <f t="shared" ca="1" si="51"/>
        <v>-0.22174915354720301</v>
      </c>
      <c r="G541" s="3">
        <f t="shared" ca="1" si="54"/>
        <v>1.8646992293052289</v>
      </c>
      <c r="H541">
        <f t="shared" ca="1" si="52"/>
        <v>-0.11891952871660963</v>
      </c>
      <c r="I541">
        <f t="shared" ca="1" si="53"/>
        <v>3.0122326759971472</v>
      </c>
    </row>
    <row r="542" spans="1:9" x14ac:dyDescent="0.3">
      <c r="A542" s="1">
        <v>40963</v>
      </c>
      <c r="B542" t="s">
        <v>0</v>
      </c>
      <c r="C542">
        <v>303.8117699</v>
      </c>
      <c r="D542" s="2">
        <f t="shared" si="49"/>
        <v>6.2530440852729104E-3</v>
      </c>
      <c r="E542" s="2">
        <f t="shared" ca="1" si="50"/>
        <v>2.9620857719580793</v>
      </c>
      <c r="F542">
        <f t="shared" ca="1" si="51"/>
        <v>2.9691291238722513</v>
      </c>
      <c r="G542" s="3">
        <f t="shared" ca="1" si="54"/>
        <v>1.8575961272137542</v>
      </c>
      <c r="H542">
        <f t="shared" ca="1" si="52"/>
        <v>1.5983717237426134</v>
      </c>
      <c r="I542">
        <f t="shared" ca="1" si="53"/>
        <v>-2.1765418063795416</v>
      </c>
    </row>
    <row r="543" spans="1:9" x14ac:dyDescent="0.3">
      <c r="A543" s="1">
        <v>40966</v>
      </c>
      <c r="B543" t="s">
        <v>0</v>
      </c>
      <c r="C543">
        <v>303.51785460000002</v>
      </c>
      <c r="D543" s="2">
        <f t="shared" si="49"/>
        <v>-9.6742565337979867E-4</v>
      </c>
      <c r="E543" s="2">
        <f t="shared" ca="1" si="50"/>
        <v>1.0557861353593816</v>
      </c>
      <c r="F543">
        <f t="shared" ca="1" si="51"/>
        <v>1.0557961289846987</v>
      </c>
      <c r="G543" s="3">
        <f t="shared" ca="1" si="54"/>
        <v>1.8670023089968142</v>
      </c>
      <c r="H543">
        <f t="shared" ca="1" si="52"/>
        <v>0.56550338684476698</v>
      </c>
      <c r="I543">
        <f t="shared" ca="1" si="53"/>
        <v>-0.10859105354924299</v>
      </c>
    </row>
    <row r="544" spans="1:9" x14ac:dyDescent="0.3">
      <c r="A544" s="1">
        <v>40967</v>
      </c>
      <c r="B544" t="s">
        <v>0</v>
      </c>
      <c r="C544">
        <v>308.04090309999998</v>
      </c>
      <c r="D544" s="2">
        <f t="shared" si="49"/>
        <v>1.4902083786671436E-2</v>
      </c>
      <c r="E544" s="2">
        <f t="shared" ca="1" si="50"/>
        <v>0.78757800662826172</v>
      </c>
      <c r="F544">
        <f t="shared" ca="1" si="51"/>
        <v>0.78397270962186349</v>
      </c>
      <c r="G544" s="3">
        <f t="shared" ca="1" si="54"/>
        <v>1.8618467687999316</v>
      </c>
      <c r="H544">
        <f t="shared" ca="1" si="52"/>
        <v>0.4210726267915052</v>
      </c>
      <c r="I544">
        <f t="shared" ca="1" si="53"/>
        <v>0.48640081669504787</v>
      </c>
    </row>
    <row r="545" spans="1:9" x14ac:dyDescent="0.3">
      <c r="A545" s="1">
        <v>40968</v>
      </c>
      <c r="B545" t="s">
        <v>0</v>
      </c>
      <c r="C545">
        <v>307.97116990000001</v>
      </c>
      <c r="D545" s="2">
        <f t="shared" si="49"/>
        <v>-2.2637643020198409E-4</v>
      </c>
      <c r="E545" s="2">
        <f t="shared" ca="1" si="50"/>
        <v>1.0025038252734522</v>
      </c>
      <c r="F545">
        <f t="shared" ca="1" si="51"/>
        <v>0.99866295165558772</v>
      </c>
      <c r="G545" s="3">
        <f t="shared" ca="1" si="54"/>
        <v>1.8558334920304096</v>
      </c>
      <c r="H545">
        <f t="shared" ca="1" si="52"/>
        <v>0.53812098765551519</v>
      </c>
      <c r="I545">
        <f t="shared" ca="1" si="53"/>
        <v>2.6758345985911703E-3</v>
      </c>
    </row>
    <row r="546" spans="1:9" x14ac:dyDescent="0.3">
      <c r="A546" s="1">
        <v>40969</v>
      </c>
      <c r="B546" t="s">
        <v>0</v>
      </c>
      <c r="C546">
        <v>310.03843430000001</v>
      </c>
      <c r="D546" s="2">
        <f t="shared" si="49"/>
        <v>6.7125257233371927E-3</v>
      </c>
      <c r="E546" s="2">
        <f t="shared" ca="1" si="50"/>
        <v>-1.7468287775755316</v>
      </c>
      <c r="F546">
        <f t="shared" ca="1" si="51"/>
        <v>-1.7560407583104751</v>
      </c>
      <c r="G546" s="3">
        <f t="shared" ca="1" si="54"/>
        <v>1.8506223166239038</v>
      </c>
      <c r="H546">
        <f t="shared" ca="1" si="52"/>
        <v>-0.94889202542095452</v>
      </c>
      <c r="I546">
        <f t="shared" ca="1" si="53"/>
        <v>-1.1261380234201661</v>
      </c>
    </row>
    <row r="547" spans="1:9" x14ac:dyDescent="0.3">
      <c r="A547" s="1">
        <v>40970</v>
      </c>
      <c r="B547" t="s">
        <v>0</v>
      </c>
      <c r="C547">
        <v>309.46558800000003</v>
      </c>
      <c r="D547" s="2">
        <f t="shared" si="49"/>
        <v>-1.8476622141811035E-3</v>
      </c>
      <c r="E547" s="2">
        <f t="shared" ca="1" si="50"/>
        <v>-1.5279604522859545</v>
      </c>
      <c r="F547">
        <f t="shared" ca="1" si="51"/>
        <v>-1.5298209316199929</v>
      </c>
      <c r="G547" s="3">
        <f t="shared" ca="1" si="54"/>
        <v>1.8494500900734803</v>
      </c>
      <c r="H547">
        <f t="shared" ca="1" si="52"/>
        <v>-0.82717611025621773</v>
      </c>
      <c r="I547">
        <f t="shared" ca="1" si="53"/>
        <v>-0.85030283948914964</v>
      </c>
    </row>
    <row r="548" spans="1:9" x14ac:dyDescent="0.3">
      <c r="A548" s="1">
        <v>40973</v>
      </c>
      <c r="B548" t="s">
        <v>0</v>
      </c>
      <c r="C548">
        <v>305.97864340000001</v>
      </c>
      <c r="D548" s="2">
        <f t="shared" si="49"/>
        <v>-1.1267632768267647E-2</v>
      </c>
      <c r="E548" s="2">
        <f t="shared" ca="1" si="50"/>
        <v>-4.3809057636822164</v>
      </c>
      <c r="F548">
        <f t="shared" ca="1" si="51"/>
        <v>-4.3845347222653483</v>
      </c>
      <c r="G548" s="3">
        <f t="shared" ca="1" si="54"/>
        <v>1.846888837184993</v>
      </c>
      <c r="H548">
        <f t="shared" ca="1" si="52"/>
        <v>-2.3740111662314263</v>
      </c>
      <c r="I548">
        <f t="shared" ca="1" si="53"/>
        <v>-2.9561736312264086</v>
      </c>
    </row>
    <row r="549" spans="1:9" x14ac:dyDescent="0.3">
      <c r="A549" s="1">
        <v>40974</v>
      </c>
      <c r="B549" t="s">
        <v>0</v>
      </c>
      <c r="C549">
        <v>301.35098049999999</v>
      </c>
      <c r="D549" s="2">
        <f t="shared" si="49"/>
        <v>-1.5124136928571069E-2</v>
      </c>
      <c r="E549" s="2">
        <f t="shared" ca="1" si="50"/>
        <v>-0.48628912061473789</v>
      </c>
      <c r="F549">
        <f t="shared" ca="1" si="51"/>
        <v>-0.48177896876706827</v>
      </c>
      <c r="G549" s="3">
        <f t="shared" ca="1" si="54"/>
        <v>1.8763530140912508</v>
      </c>
      <c r="H549">
        <f t="shared" ca="1" si="52"/>
        <v>-0.25676350087054484</v>
      </c>
      <c r="I549">
        <f t="shared" ca="1" si="53"/>
        <v>1.4595542074540158</v>
      </c>
    </row>
    <row r="550" spans="1:9" x14ac:dyDescent="0.3">
      <c r="A550" s="1">
        <v>40975</v>
      </c>
      <c r="B550" t="s">
        <v>0</v>
      </c>
      <c r="C550">
        <v>302.26754699999998</v>
      </c>
      <c r="D550" s="2">
        <f t="shared" si="49"/>
        <v>3.0415248640612525E-3</v>
      </c>
      <c r="E550" s="2">
        <f t="shared" ca="1" si="50"/>
        <v>-3.0648857207335869</v>
      </c>
      <c r="F550">
        <f t="shared" ca="1" si="51"/>
        <v>-3.0533599080673679</v>
      </c>
      <c r="G550" s="3">
        <f t="shared" ca="1" si="54"/>
        <v>1.8694488712996531</v>
      </c>
      <c r="H550">
        <f t="shared" ca="1" si="52"/>
        <v>-1.6332941515242683</v>
      </c>
      <c r="I550">
        <f t="shared" ca="1" si="53"/>
        <v>-2.2324861792540136</v>
      </c>
    </row>
    <row r="551" spans="1:9" x14ac:dyDescent="0.3">
      <c r="A551" s="1">
        <v>40976</v>
      </c>
      <c r="B551" t="s">
        <v>0</v>
      </c>
      <c r="C551">
        <v>302.43692019999997</v>
      </c>
      <c r="D551" s="2">
        <f t="shared" si="49"/>
        <v>5.6034199397527601E-4</v>
      </c>
      <c r="E551" s="2">
        <f t="shared" ca="1" si="50"/>
        <v>0.36059497036863147</v>
      </c>
      <c r="F551">
        <f t="shared" ca="1" si="51"/>
        <v>0.36910584288873077</v>
      </c>
      <c r="G551" s="3">
        <f t="shared" ca="1" si="54"/>
        <v>1.8793378564762686</v>
      </c>
      <c r="H551">
        <f t="shared" ca="1" si="52"/>
        <v>0.19640206874819141</v>
      </c>
      <c r="I551">
        <f t="shared" ca="1" si="53"/>
        <v>1.9933413733018812</v>
      </c>
    </row>
    <row r="552" spans="1:9" x14ac:dyDescent="0.3">
      <c r="A552" s="1">
        <v>40977</v>
      </c>
      <c r="B552" t="s">
        <v>0</v>
      </c>
      <c r="C552">
        <v>299.00478520000001</v>
      </c>
      <c r="D552" s="2">
        <f t="shared" si="49"/>
        <v>-1.134826726092273E-2</v>
      </c>
      <c r="E552" s="2">
        <f t="shared" ca="1" si="50"/>
        <v>-0.24394650251791172</v>
      </c>
      <c r="F552">
        <f t="shared" ca="1" si="51"/>
        <v>-0.246007524624269</v>
      </c>
      <c r="G552" s="3">
        <f t="shared" ca="1" si="54"/>
        <v>1.8722233709890852</v>
      </c>
      <c r="H552">
        <f t="shared" ca="1" si="52"/>
        <v>-0.13139859721669034</v>
      </c>
      <c r="I552">
        <f t="shared" ca="1" si="53"/>
        <v>2.8026583567735193</v>
      </c>
    </row>
    <row r="553" spans="1:9" x14ac:dyDescent="0.3">
      <c r="A553" s="1">
        <v>40980</v>
      </c>
      <c r="B553" t="s">
        <v>0</v>
      </c>
      <c r="C553">
        <v>301.44561579999998</v>
      </c>
      <c r="D553" s="2">
        <f t="shared" si="49"/>
        <v>8.1631823997978265E-3</v>
      </c>
      <c r="E553" s="2">
        <f t="shared" ca="1" si="50"/>
        <v>-3.2867752799168246E-2</v>
      </c>
      <c r="F553">
        <f t="shared" ca="1" si="51"/>
        <v>-2.9833014800967277E-2</v>
      </c>
      <c r="G553" s="3">
        <f t="shared" ca="1" si="54"/>
        <v>1.8650538220021746</v>
      </c>
      <c r="H553">
        <f t="shared" ca="1" si="52"/>
        <v>-1.5995792962661477E-2</v>
      </c>
      <c r="I553">
        <f t="shared" ca="1" si="53"/>
        <v>6.949406328754816</v>
      </c>
    </row>
    <row r="554" spans="1:9" x14ac:dyDescent="0.3">
      <c r="A554" s="1">
        <v>40981</v>
      </c>
      <c r="B554" t="s">
        <v>0</v>
      </c>
      <c r="C554">
        <v>307.7370694</v>
      </c>
      <c r="D554" s="2">
        <f t="shared" si="49"/>
        <v>2.0870940794090697E-2</v>
      </c>
      <c r="E554" s="2">
        <f t="shared" ca="1" si="50"/>
        <v>1.0391274514404363</v>
      </c>
      <c r="F554">
        <f t="shared" ca="1" si="51"/>
        <v>1.043760001111963</v>
      </c>
      <c r="G554" s="3">
        <f t="shared" ca="1" si="54"/>
        <v>1.8578568076920785</v>
      </c>
      <c r="H554">
        <f t="shared" ca="1" si="52"/>
        <v>0.56180863712988371</v>
      </c>
      <c r="I554">
        <f t="shared" ca="1" si="53"/>
        <v>-8.605899487170908E-2</v>
      </c>
    </row>
    <row r="555" spans="1:9" x14ac:dyDescent="0.3">
      <c r="A555" s="1">
        <v>40982</v>
      </c>
      <c r="B555" t="s">
        <v>0</v>
      </c>
      <c r="C555">
        <v>306.84540509999999</v>
      </c>
      <c r="D555" s="2">
        <f t="shared" si="49"/>
        <v>-2.8974874614179393E-3</v>
      </c>
      <c r="E555" s="2">
        <f t="shared" ca="1" si="50"/>
        <v>0.49046011808082252</v>
      </c>
      <c r="F555">
        <f t="shared" ca="1" si="51"/>
        <v>0.47915393810088919</v>
      </c>
      <c r="G555" s="3">
        <f t="shared" ca="1" si="54"/>
        <v>1.8527893403146192</v>
      </c>
      <c r="H555">
        <f t="shared" ca="1" si="52"/>
        <v>0.25861220575649729</v>
      </c>
      <c r="I555">
        <f t="shared" ca="1" si="53"/>
        <v>1.4714301512804335</v>
      </c>
    </row>
    <row r="556" spans="1:9" x14ac:dyDescent="0.3">
      <c r="A556" s="1">
        <v>40983</v>
      </c>
      <c r="B556" t="s">
        <v>0</v>
      </c>
      <c r="C556">
        <v>309.40580410000001</v>
      </c>
      <c r="D556" s="2">
        <f t="shared" si="49"/>
        <v>8.3442637805366243E-3</v>
      </c>
      <c r="E556" s="2">
        <f t="shared" ca="1" si="50"/>
        <v>3.6764802588729442</v>
      </c>
      <c r="F556">
        <f t="shared" ca="1" si="51"/>
        <v>3.6643479235877714</v>
      </c>
      <c r="G556" s="3">
        <f t="shared" ca="1" si="54"/>
        <v>1.8461671148707326</v>
      </c>
      <c r="H556">
        <f t="shared" ca="1" si="52"/>
        <v>1.9848408597855165</v>
      </c>
      <c r="I556">
        <f t="shared" ca="1" si="53"/>
        <v>-2.5973059846341422</v>
      </c>
    </row>
    <row r="557" spans="1:9" x14ac:dyDescent="0.3">
      <c r="A557" s="1">
        <v>40984</v>
      </c>
      <c r="B557" t="s">
        <v>0</v>
      </c>
      <c r="C557">
        <v>311.35350010000002</v>
      </c>
      <c r="D557" s="2">
        <f t="shared" si="49"/>
        <v>6.29495624901242E-3</v>
      </c>
      <c r="E557" s="2">
        <f t="shared" ca="1" si="50"/>
        <v>2.9071561011025073</v>
      </c>
      <c r="F557">
        <f t="shared" ca="1" si="51"/>
        <v>2.9064723858901265</v>
      </c>
      <c r="G557" s="3">
        <f t="shared" ca="1" si="54"/>
        <v>1.8647522628952262</v>
      </c>
      <c r="H557">
        <f t="shared" ca="1" si="52"/>
        <v>1.5586372751614304</v>
      </c>
      <c r="I557">
        <f t="shared" ca="1" si="53"/>
        <v>-2.1338849054704419</v>
      </c>
    </row>
    <row r="558" spans="1:9" x14ac:dyDescent="0.3">
      <c r="A558" s="1">
        <v>40987</v>
      </c>
      <c r="B558" t="s">
        <v>0</v>
      </c>
      <c r="C558">
        <v>315.80681600000003</v>
      </c>
      <c r="D558" s="2">
        <f t="shared" si="49"/>
        <v>1.430308603747733E-2</v>
      </c>
      <c r="E558" s="2">
        <f t="shared" ca="1" si="50"/>
        <v>-0.21176865430724257</v>
      </c>
      <c r="F558">
        <f t="shared" ca="1" si="51"/>
        <v>-0.21884153821150895</v>
      </c>
      <c r="G558" s="3">
        <f t="shared" ca="1" si="54"/>
        <v>1.8732092173428889</v>
      </c>
      <c r="H558">
        <f t="shared" ca="1" si="52"/>
        <v>-0.11682706671811675</v>
      </c>
      <c r="I558">
        <f t="shared" ca="1" si="53"/>
        <v>3.0345430692340414</v>
      </c>
    </row>
    <row r="559" spans="1:9" x14ac:dyDescent="0.3">
      <c r="A559" s="1">
        <v>40988</v>
      </c>
      <c r="B559" t="s">
        <v>0</v>
      </c>
      <c r="C559">
        <v>315.56273590000001</v>
      </c>
      <c r="D559" s="2">
        <f t="shared" si="49"/>
        <v>-7.7287787227498981E-4</v>
      </c>
      <c r="E559" s="2">
        <f t="shared" ca="1" si="50"/>
        <v>0.71997990239621401</v>
      </c>
      <c r="F559">
        <f t="shared" ca="1" si="51"/>
        <v>0.71179536797798959</v>
      </c>
      <c r="G559" s="3">
        <f t="shared" ca="1" si="54"/>
        <v>1.8660050348699666</v>
      </c>
      <c r="H559">
        <f t="shared" ca="1" si="52"/>
        <v>0.38145415187885134</v>
      </c>
      <c r="I559">
        <f t="shared" ca="1" si="53"/>
        <v>0.67992844781454709</v>
      </c>
    </row>
    <row r="560" spans="1:9" x14ac:dyDescent="0.3">
      <c r="A560" s="1">
        <v>40989</v>
      </c>
      <c r="B560" t="s">
        <v>0</v>
      </c>
      <c r="C560">
        <v>318.79562120000003</v>
      </c>
      <c r="D560" s="2">
        <f t="shared" si="49"/>
        <v>1.0244825932249818E-2</v>
      </c>
      <c r="E560" s="2">
        <f t="shared" ca="1" si="50"/>
        <v>-1.8327891051522089</v>
      </c>
      <c r="F560">
        <f t="shared" ca="1" si="51"/>
        <v>-1.8414651441235503</v>
      </c>
      <c r="G560" s="3">
        <f t="shared" ca="1" si="54"/>
        <v>1.8597360346967207</v>
      </c>
      <c r="H560">
        <f t="shared" ca="1" si="52"/>
        <v>-0.99017554629673565</v>
      </c>
      <c r="I560">
        <f t="shared" ca="1" si="53"/>
        <v>-1.2211540090191539</v>
      </c>
    </row>
    <row r="561" spans="1:9" x14ac:dyDescent="0.3">
      <c r="A561" s="1">
        <v>40990</v>
      </c>
      <c r="B561" t="s">
        <v>0</v>
      </c>
      <c r="C561">
        <v>321.81930770000002</v>
      </c>
      <c r="D561" s="2">
        <f t="shared" si="49"/>
        <v>9.4847177907222656E-3</v>
      </c>
      <c r="E561" s="2">
        <f t="shared" ca="1" si="50"/>
        <v>-5.907409667475938E-2</v>
      </c>
      <c r="F561">
        <f t="shared" ca="1" si="51"/>
        <v>-6.1647481213502608E-2</v>
      </c>
      <c r="G561" s="3">
        <f t="shared" ca="1" si="54"/>
        <v>1.8589481065466098</v>
      </c>
      <c r="H561">
        <f t="shared" ca="1" si="52"/>
        <v>-3.3162561663986345E-2</v>
      </c>
      <c r="I561">
        <f t="shared" ca="1" si="53"/>
        <v>5.5489747285270514</v>
      </c>
    </row>
    <row r="562" spans="1:9" x14ac:dyDescent="0.3">
      <c r="A562" s="1">
        <v>40991</v>
      </c>
      <c r="B562" t="s">
        <v>0</v>
      </c>
      <c r="C562">
        <v>320.09576349999998</v>
      </c>
      <c r="D562" s="2">
        <f t="shared" si="49"/>
        <v>-5.3556270825327141E-3</v>
      </c>
      <c r="E562" s="2">
        <f t="shared" ca="1" si="50"/>
        <v>0.85121925541009791</v>
      </c>
      <c r="F562">
        <f t="shared" ca="1" si="51"/>
        <v>0.8420118210748001</v>
      </c>
      <c r="G562" s="3">
        <f t="shared" ca="1" si="54"/>
        <v>1.8518266936266117</v>
      </c>
      <c r="H562">
        <f t="shared" ca="1" si="52"/>
        <v>0.45469256057963325</v>
      </c>
      <c r="I562">
        <f t="shared" ca="1" si="53"/>
        <v>0.34388199498940564</v>
      </c>
    </row>
    <row r="563" spans="1:9" x14ac:dyDescent="0.3">
      <c r="A563" s="1">
        <v>40994</v>
      </c>
      <c r="B563" t="s">
        <v>0</v>
      </c>
      <c r="C563">
        <v>323.45316059999999</v>
      </c>
      <c r="D563" s="2">
        <f t="shared" si="49"/>
        <v>1.0488727071203536E-2</v>
      </c>
      <c r="E563" s="2">
        <f t="shared" ca="1" si="50"/>
        <v>1.7678069641897385</v>
      </c>
      <c r="F563">
        <f t="shared" ca="1" si="51"/>
        <v>1.7634977246512611</v>
      </c>
      <c r="G563" s="3">
        <f t="shared" ca="1" si="54"/>
        <v>1.846126553034237</v>
      </c>
      <c r="H563">
        <f t="shared" ca="1" si="52"/>
        <v>0.9552420562679359</v>
      </c>
      <c r="I563">
        <f t="shared" ca="1" si="53"/>
        <v>-1.1346337358384564</v>
      </c>
    </row>
    <row r="564" spans="1:9" x14ac:dyDescent="0.3">
      <c r="A564" s="1">
        <v>40995</v>
      </c>
      <c r="B564" t="s">
        <v>0</v>
      </c>
      <c r="C564">
        <v>322.30249359999999</v>
      </c>
      <c r="D564" s="2">
        <f t="shared" si="49"/>
        <v>-3.5574455289462351E-3</v>
      </c>
      <c r="E564" s="2">
        <f t="shared" ca="1" si="50"/>
        <v>-0.67255923326651845</v>
      </c>
      <c r="F564">
        <f t="shared" ca="1" si="51"/>
        <v>-0.67235167789614125</v>
      </c>
      <c r="G564" s="3">
        <f t="shared" ca="1" si="54"/>
        <v>1.8450990858247387</v>
      </c>
      <c r="H564">
        <f t="shared" ca="1" si="52"/>
        <v>-0.36439868355124544</v>
      </c>
      <c r="I564">
        <f t="shared" ca="1" si="53"/>
        <v>0.79391949509452642</v>
      </c>
    </row>
    <row r="565" spans="1:9" x14ac:dyDescent="0.3">
      <c r="A565" s="1">
        <v>40996</v>
      </c>
      <c r="B565" t="s">
        <v>0</v>
      </c>
      <c r="C565">
        <v>326.65616949999998</v>
      </c>
      <c r="D565" s="2">
        <f t="shared" si="49"/>
        <v>1.3508042867962424E-2</v>
      </c>
      <c r="E565" s="2">
        <f t="shared" ca="1" si="50"/>
        <v>-2.220986249378023</v>
      </c>
      <c r="F565">
        <f t="shared" ca="1" si="51"/>
        <v>-2.2264568377750589</v>
      </c>
      <c r="G565" s="3">
        <f t="shared" ca="1" si="54"/>
        <v>1.8389981621179659</v>
      </c>
      <c r="H565">
        <f t="shared" ca="1" si="52"/>
        <v>-1.2106900831324696</v>
      </c>
      <c r="I565">
        <f t="shared" ca="1" si="53"/>
        <v>-1.6008597290091791</v>
      </c>
    </row>
    <row r="566" spans="1:9" x14ac:dyDescent="0.3">
      <c r="A566" s="1">
        <v>40997</v>
      </c>
      <c r="B566" t="s">
        <v>0</v>
      </c>
      <c r="C566">
        <v>322.99487740000001</v>
      </c>
      <c r="D566" s="2">
        <f t="shared" si="49"/>
        <v>-1.1208397213510976E-2</v>
      </c>
      <c r="E566" s="2">
        <f t="shared" ca="1" si="50"/>
        <v>-0.41184274361515172</v>
      </c>
      <c r="F566">
        <f t="shared" ca="1" si="51"/>
        <v>-0.41365516558480786</v>
      </c>
      <c r="G566" s="3">
        <f t="shared" ca="1" si="54"/>
        <v>1.8416901304541617</v>
      </c>
      <c r="H566">
        <f t="shared" ca="1" si="52"/>
        <v>-0.22460627808370798</v>
      </c>
      <c r="I566">
        <f t="shared" ca="1" si="53"/>
        <v>1.7647109784142812</v>
      </c>
    </row>
    <row r="567" spans="1:9" x14ac:dyDescent="0.3">
      <c r="A567" s="1">
        <v>40998</v>
      </c>
      <c r="B567" t="s">
        <v>0</v>
      </c>
      <c r="C567">
        <v>319.42327710000001</v>
      </c>
      <c r="D567" s="2">
        <f t="shared" si="49"/>
        <v>-1.1057761438045642E-2</v>
      </c>
      <c r="E567" s="2">
        <f t="shared" ca="1" si="50"/>
        <v>-0.38629579041516698</v>
      </c>
      <c r="F567">
        <f t="shared" ca="1" si="51"/>
        <v>-0.39136524740846745</v>
      </c>
      <c r="G567" s="3">
        <f t="shared" ca="1" si="54"/>
        <v>1.8350910315355811</v>
      </c>
      <c r="H567">
        <f t="shared" ca="1" si="52"/>
        <v>-0.21326748411002691</v>
      </c>
      <c r="I567">
        <f t="shared" ca="1" si="53"/>
        <v>1.8754297299128211</v>
      </c>
    </row>
    <row r="568" spans="1:9" x14ac:dyDescent="0.3">
      <c r="A568" s="1">
        <v>41001</v>
      </c>
      <c r="B568" t="s">
        <v>0</v>
      </c>
      <c r="C568">
        <v>322.25265839999997</v>
      </c>
      <c r="D568" s="2">
        <f t="shared" si="49"/>
        <v>8.8577805778199056E-3</v>
      </c>
      <c r="E568" s="2">
        <f t="shared" ca="1" si="50"/>
        <v>-1.220218051900869</v>
      </c>
      <c r="F568">
        <f t="shared" ca="1" si="51"/>
        <v>-1.2099415776585964</v>
      </c>
      <c r="G568" s="3">
        <f t="shared" ca="1" si="54"/>
        <v>1.8285369094897648</v>
      </c>
      <c r="H568">
        <f t="shared" ca="1" si="52"/>
        <v>-0.66169929159166863</v>
      </c>
      <c r="I568">
        <f t="shared" ca="1" si="53"/>
        <v>-0.38119774563244913</v>
      </c>
    </row>
    <row r="569" spans="1:9" x14ac:dyDescent="0.3">
      <c r="A569" s="1">
        <v>41002</v>
      </c>
      <c r="B569" t="s">
        <v>0</v>
      </c>
      <c r="C569">
        <v>320.11068710000001</v>
      </c>
      <c r="D569" s="2">
        <f t="shared" si="49"/>
        <v>-6.6468692939104278E-3</v>
      </c>
      <c r="E569" s="2">
        <f t="shared" ca="1" si="50"/>
        <v>-0.80176900306081611</v>
      </c>
      <c r="F569">
        <f t="shared" ca="1" si="51"/>
        <v>-0.79752445557762264</v>
      </c>
      <c r="G569" s="3">
        <f t="shared" ca="1" si="54"/>
        <v>1.8246461883363552</v>
      </c>
      <c r="H569">
        <f t="shared" ca="1" si="52"/>
        <v>-0.43708443898637461</v>
      </c>
      <c r="I569">
        <f t="shared" ca="1" si="53"/>
        <v>0.45241609714832864</v>
      </c>
    </row>
    <row r="570" spans="1:9" x14ac:dyDescent="0.3">
      <c r="A570" s="1">
        <v>41003</v>
      </c>
      <c r="B570" t="s">
        <v>0</v>
      </c>
      <c r="C570">
        <v>316.38964149999998</v>
      </c>
      <c r="D570" s="2">
        <f t="shared" si="49"/>
        <v>-1.162424670575775E-2</v>
      </c>
      <c r="E570" s="2">
        <f t="shared" ca="1" si="50"/>
        <v>0.92553746023678918</v>
      </c>
      <c r="F570">
        <f t="shared" ca="1" si="51"/>
        <v>0.9220036162332832</v>
      </c>
      <c r="G570" s="3">
        <f t="shared" ca="1" si="54"/>
        <v>1.8191770243797218</v>
      </c>
      <c r="H570">
        <f t="shared" ca="1" si="52"/>
        <v>0.50682457170305095</v>
      </c>
      <c r="I570">
        <f t="shared" ca="1" si="53"/>
        <v>0.16225331513133381</v>
      </c>
    </row>
    <row r="571" spans="1:9" x14ac:dyDescent="0.3">
      <c r="A571" s="1">
        <v>41004</v>
      </c>
      <c r="B571" t="s">
        <v>0</v>
      </c>
      <c r="C571">
        <v>314.97991000000002</v>
      </c>
      <c r="D571" s="2">
        <f t="shared" si="49"/>
        <v>-4.4556815871608238E-3</v>
      </c>
      <c r="E571" s="2">
        <f t="shared" ca="1" si="50"/>
        <v>3.0970708613371474</v>
      </c>
      <c r="F571">
        <f t="shared" ca="1" si="51"/>
        <v>3.1046757935367815</v>
      </c>
      <c r="G571" s="3">
        <f t="shared" ca="1" si="54"/>
        <v>1.8142114973791008</v>
      </c>
      <c r="H571">
        <f t="shared" ca="1" si="52"/>
        <v>1.7113086307864045</v>
      </c>
      <c r="I571">
        <f t="shared" ca="1" si="53"/>
        <v>-2.2658206508892031</v>
      </c>
    </row>
    <row r="572" spans="1:9" x14ac:dyDescent="0.3">
      <c r="A572" s="1">
        <v>41008</v>
      </c>
      <c r="B572" t="s">
        <v>0</v>
      </c>
      <c r="C572">
        <v>314.24269570000001</v>
      </c>
      <c r="D572" s="2">
        <f t="shared" si="49"/>
        <v>-2.3405121298053742E-3</v>
      </c>
      <c r="E572" s="2">
        <f t="shared" ca="1" si="50"/>
        <v>-0.12081074335778981</v>
      </c>
      <c r="F572">
        <f t="shared" ca="1" si="51"/>
        <v>-0.11224383305729735</v>
      </c>
      <c r="G572" s="3">
        <f t="shared" ca="1" si="54"/>
        <v>1.8269695071716716</v>
      </c>
      <c r="H572">
        <f t="shared" ca="1" si="52"/>
        <v>-6.1437168281512175E-2</v>
      </c>
      <c r="I572">
        <f t="shared" ca="1" si="53"/>
        <v>4.3737285791626048</v>
      </c>
    </row>
    <row r="573" spans="1:9" x14ac:dyDescent="0.3">
      <c r="A573" s="1">
        <v>41009</v>
      </c>
      <c r="B573" t="s">
        <v>0</v>
      </c>
      <c r="C573">
        <v>312.26011790000001</v>
      </c>
      <c r="D573" s="2">
        <f t="shared" si="49"/>
        <v>-6.3090656588967176E-3</v>
      </c>
      <c r="E573" s="2">
        <f t="shared" ca="1" si="50"/>
        <v>-2.1289919425248867</v>
      </c>
      <c r="F573">
        <f t="shared" ca="1" si="51"/>
        <v>-2.1255195444841877</v>
      </c>
      <c r="G573" s="3">
        <f t="shared" ca="1" si="54"/>
        <v>1.8202356521977867</v>
      </c>
      <c r="H573">
        <f t="shared" ca="1" si="52"/>
        <v>-1.1677166865278106</v>
      </c>
      <c r="I573">
        <f t="shared" ca="1" si="53"/>
        <v>-1.5080413385168143</v>
      </c>
    </row>
    <row r="574" spans="1:9" x14ac:dyDescent="0.3">
      <c r="A574" s="1">
        <v>41010</v>
      </c>
      <c r="B574" t="s">
        <v>0</v>
      </c>
      <c r="C574">
        <v>316.79311510000002</v>
      </c>
      <c r="D574" s="2">
        <f t="shared" si="49"/>
        <v>1.4516734415157316E-2</v>
      </c>
      <c r="E574" s="2">
        <f t="shared" ca="1" si="50"/>
        <v>-1.2635701178914478</v>
      </c>
      <c r="F574">
        <f t="shared" ca="1" si="51"/>
        <v>-1.2602315433755602</v>
      </c>
      <c r="G574" s="3">
        <f t="shared" ca="1" si="54"/>
        <v>1.8225693135883323</v>
      </c>
      <c r="H574">
        <f t="shared" ca="1" si="52"/>
        <v>-0.69145877414910295</v>
      </c>
      <c r="I574">
        <f t="shared" ca="1" si="53"/>
        <v>-0.46272362701659236</v>
      </c>
    </row>
    <row r="575" spans="1:9" x14ac:dyDescent="0.3">
      <c r="A575" s="1">
        <v>41011</v>
      </c>
      <c r="B575" t="s">
        <v>0</v>
      </c>
      <c r="C575">
        <v>324.29004579999997</v>
      </c>
      <c r="D575" s="2">
        <f t="shared" si="49"/>
        <v>2.3665068281655814E-2</v>
      </c>
      <c r="E575" s="2">
        <f t="shared" ca="1" si="50"/>
        <v>1.0869617452749902</v>
      </c>
      <c r="F575">
        <f t="shared" ca="1" si="51"/>
        <v>1.086561991114054</v>
      </c>
      <c r="G575" s="3">
        <f t="shared" ca="1" si="54"/>
        <v>1.8190234817037576</v>
      </c>
      <c r="H575">
        <f t="shared" ca="1" si="52"/>
        <v>0.59733258093861663</v>
      </c>
      <c r="I575">
        <f t="shared" ca="1" si="53"/>
        <v>-0.16651150805223155</v>
      </c>
    </row>
    <row r="576" spans="1:9" x14ac:dyDescent="0.3">
      <c r="A576" s="1">
        <v>41012</v>
      </c>
      <c r="B576" t="s">
        <v>0</v>
      </c>
      <c r="C576">
        <v>311.13432269999998</v>
      </c>
      <c r="D576" s="2">
        <f t="shared" si="49"/>
        <v>-4.0567767251522557E-2</v>
      </c>
      <c r="E576" s="2">
        <f t="shared" ca="1" si="50"/>
        <v>1.9101512995145622</v>
      </c>
      <c r="F576">
        <f t="shared" ca="1" si="51"/>
        <v>1.8940556714226144</v>
      </c>
      <c r="G576" s="3">
        <f t="shared" ca="1" si="54"/>
        <v>1.8147218598195305</v>
      </c>
      <c r="H576">
        <f t="shared" ca="1" si="52"/>
        <v>1.0437167884289296</v>
      </c>
      <c r="I576">
        <f t="shared" ca="1" si="53"/>
        <v>-1.2778995264963713</v>
      </c>
    </row>
    <row r="577" spans="1:9" x14ac:dyDescent="0.3">
      <c r="A577" s="1">
        <v>41015</v>
      </c>
      <c r="B577" t="s">
        <v>0</v>
      </c>
      <c r="C577">
        <v>301.90389909999999</v>
      </c>
      <c r="D577" s="2">
        <f t="shared" si="49"/>
        <v>-2.9667005298223227E-2</v>
      </c>
      <c r="E577" s="2">
        <f t="shared" ca="1" si="50"/>
        <v>1.1277865981303279</v>
      </c>
      <c r="F577">
        <f t="shared" ca="1" si="51"/>
        <v>1.1251463444552741</v>
      </c>
      <c r="G577" s="3">
        <f t="shared" ca="1" si="54"/>
        <v>1.8153323378945283</v>
      </c>
      <c r="H577">
        <f t="shared" ca="1" si="52"/>
        <v>0.61980185168752588</v>
      </c>
      <c r="I577">
        <f t="shared" ca="1" si="53"/>
        <v>-0.23652145373303873</v>
      </c>
    </row>
    <row r="578" spans="1:9" x14ac:dyDescent="0.3">
      <c r="A578" s="1">
        <v>41016</v>
      </c>
      <c r="B578" t="s">
        <v>0</v>
      </c>
      <c r="C578">
        <v>303.64737109999999</v>
      </c>
      <c r="D578" s="2">
        <f t="shared" si="49"/>
        <v>5.7749237595056853E-3</v>
      </c>
      <c r="E578" s="2">
        <f t="shared" ca="1" si="50"/>
        <v>-2.7072008248643287</v>
      </c>
      <c r="F578">
        <f t="shared" ca="1" si="51"/>
        <v>-2.6730937344584365</v>
      </c>
      <c r="G578" s="3">
        <f t="shared" ca="1" si="54"/>
        <v>1.8112600436805333</v>
      </c>
      <c r="H578">
        <f t="shared" ca="1" si="52"/>
        <v>-1.4758199651037582</v>
      </c>
      <c r="I578">
        <f t="shared" ca="1" si="53"/>
        <v>-1.9664776746418036</v>
      </c>
    </row>
    <row r="579" spans="1:9" x14ac:dyDescent="0.3">
      <c r="A579" s="1">
        <v>41017</v>
      </c>
      <c r="B579" t="s">
        <v>0</v>
      </c>
      <c r="C579">
        <v>302.59133939999998</v>
      </c>
      <c r="D579" s="2">
        <f t="shared" si="49"/>
        <v>-3.4778226341114055E-3</v>
      </c>
      <c r="E579" s="2">
        <f t="shared" ca="1" si="50"/>
        <v>-0.61913716326652046</v>
      </c>
      <c r="F579">
        <f t="shared" ca="1" si="51"/>
        <v>-0.60238549972326394</v>
      </c>
      <c r="G579" s="3">
        <f t="shared" ca="1" si="54"/>
        <v>1.8191316910526962</v>
      </c>
      <c r="H579">
        <f t="shared" ca="1" si="52"/>
        <v>-0.33113902785931632</v>
      </c>
      <c r="I579">
        <f t="shared" ca="1" si="53"/>
        <v>1.0136820149184651</v>
      </c>
    </row>
    <row r="580" spans="1:9" x14ac:dyDescent="0.3">
      <c r="A580" s="1">
        <v>41018</v>
      </c>
      <c r="B580" t="s">
        <v>0</v>
      </c>
      <c r="C580">
        <v>298.53154849999999</v>
      </c>
      <c r="D580" s="2">
        <f t="shared" ref="D580:D643" si="55">(C580-C579)/C579</f>
        <v>-1.3416745198491283E-2</v>
      </c>
      <c r="E580" s="2">
        <f t="shared" ca="1" si="50"/>
        <v>-0.9322032873956031</v>
      </c>
      <c r="F580">
        <f t="shared" ca="1" si="51"/>
        <v>-0.93476234683229831</v>
      </c>
      <c r="G580" s="3">
        <f t="shared" ca="1" si="54"/>
        <v>1.8131911768943152</v>
      </c>
      <c r="H580">
        <f t="shared" ca="1" si="52"/>
        <v>-0.51553435663269964</v>
      </c>
      <c r="I580">
        <f t="shared" ca="1" si="53"/>
        <v>0.13471990130649258</v>
      </c>
    </row>
    <row r="581" spans="1:9" x14ac:dyDescent="0.3">
      <c r="A581" s="1">
        <v>41019</v>
      </c>
      <c r="B581" t="s">
        <v>0</v>
      </c>
      <c r="C581">
        <v>296.91759300000001</v>
      </c>
      <c r="D581" s="2">
        <f t="shared" si="55"/>
        <v>-5.406314703117465E-3</v>
      </c>
      <c r="E581" s="2">
        <f t="shared" ca="1" si="50"/>
        <v>3.4687738746279577</v>
      </c>
      <c r="F581">
        <f t="shared" ca="1" si="51"/>
        <v>3.4749399130404282</v>
      </c>
      <c r="G581" s="3">
        <f t="shared" ca="1" si="54"/>
        <v>1.8083603020064751</v>
      </c>
      <c r="H581">
        <f t="shared" ca="1" si="52"/>
        <v>1.9215971005251504</v>
      </c>
      <c r="I581">
        <f t="shared" ca="1" si="53"/>
        <v>-2.4911567958282395</v>
      </c>
    </row>
    <row r="582" spans="1:9" x14ac:dyDescent="0.3">
      <c r="A582" s="1">
        <v>41022</v>
      </c>
      <c r="B582" t="s">
        <v>0</v>
      </c>
      <c r="C582">
        <v>297.68471460000001</v>
      </c>
      <c r="D582" s="2">
        <f t="shared" si="55"/>
        <v>2.5836178727206504E-3</v>
      </c>
      <c r="E582" s="2">
        <f t="shared" ref="E582:E645" ca="1" si="56">$N$9*D581+$N$10*D580+F582</f>
        <v>0.37666956816160951</v>
      </c>
      <c r="F582">
        <f t="shared" ref="F582:F645" ca="1" si="57">G582*H582</f>
        <v>0.38663610729601033</v>
      </c>
      <c r="G582" s="3">
        <f t="shared" ca="1" si="54"/>
        <v>1.8262827243138651</v>
      </c>
      <c r="H582">
        <f t="shared" ref="H582:H645" ca="1" si="58">_xlfn.NORM.S.INV(RAND())</f>
        <v>0.21170660059836552</v>
      </c>
      <c r="I582">
        <f t="shared" ref="I582:I645" ca="1" si="59">-LN(F582^2)-(D582^2)/(F582^2)</f>
        <v>1.9004979859434881</v>
      </c>
    </row>
    <row r="583" spans="1:9" x14ac:dyDescent="0.3">
      <c r="A583" s="1">
        <v>41023</v>
      </c>
      <c r="B583" t="s">
        <v>0</v>
      </c>
      <c r="C583">
        <v>299.5128732</v>
      </c>
      <c r="D583" s="2">
        <f t="shared" si="55"/>
        <v>6.1412578823756463E-3</v>
      </c>
      <c r="E583" s="2">
        <f t="shared" ca="1" si="56"/>
        <v>-1.3178585939454259</v>
      </c>
      <c r="F583">
        <f t="shared" ca="1" si="57"/>
        <v>-1.3152624451942601</v>
      </c>
      <c r="G583" s="3">
        <f t="shared" ref="G583:G646" ca="1" si="60">SQRT($N$6+$N$7*(H582^2)+$N$8*(G582^2))</f>
        <v>1.8198279592485853</v>
      </c>
      <c r="H583">
        <f t="shared" ca="1" si="58"/>
        <v>-0.72273999226681707</v>
      </c>
      <c r="I583">
        <f t="shared" ca="1" si="59"/>
        <v>-0.54809424929572947</v>
      </c>
    </row>
    <row r="584" spans="1:9" x14ac:dyDescent="0.3">
      <c r="A584" s="1">
        <v>41024</v>
      </c>
      <c r="B584" t="s">
        <v>0</v>
      </c>
      <c r="C584">
        <v>303.72210899999999</v>
      </c>
      <c r="D584" s="2">
        <f t="shared" si="55"/>
        <v>1.4053605626457553E-2</v>
      </c>
      <c r="E584" s="2">
        <f t="shared" ca="1" si="56"/>
        <v>4.185920183971005</v>
      </c>
      <c r="F584">
        <f t="shared" ca="1" si="57"/>
        <v>4.182480262791425</v>
      </c>
      <c r="G584" s="3">
        <f t="shared" ca="1" si="60"/>
        <v>1.8166114941362996</v>
      </c>
      <c r="H584">
        <f t="shared" ca="1" si="58"/>
        <v>2.3023526363736719</v>
      </c>
      <c r="I584">
        <f t="shared" ca="1" si="59"/>
        <v>-2.861820160097968</v>
      </c>
    </row>
    <row r="585" spans="1:9" x14ac:dyDescent="0.3">
      <c r="A585" s="1">
        <v>41025</v>
      </c>
      <c r="B585" t="s">
        <v>0</v>
      </c>
      <c r="C585">
        <v>306.58637149999998</v>
      </c>
      <c r="D585" s="2">
        <f t="shared" si="55"/>
        <v>9.4305367147308836E-3</v>
      </c>
      <c r="E585" s="2">
        <f t="shared" ca="1" si="56"/>
        <v>-0.32294311796551195</v>
      </c>
      <c r="F585">
        <f t="shared" ca="1" si="57"/>
        <v>-0.33095755848172531</v>
      </c>
      <c r="G585" s="3">
        <f t="shared" ca="1" si="60"/>
        <v>1.844836140510981</v>
      </c>
      <c r="H585">
        <f t="shared" ca="1" si="58"/>
        <v>-0.17939672321795311</v>
      </c>
      <c r="I585">
        <f t="shared" ca="1" si="59"/>
        <v>2.2107183198793159</v>
      </c>
    </row>
    <row r="586" spans="1:9" x14ac:dyDescent="0.3">
      <c r="A586" s="1">
        <v>41026</v>
      </c>
      <c r="B586" t="s">
        <v>0</v>
      </c>
      <c r="C586">
        <v>306.34229190000002</v>
      </c>
      <c r="D586" s="2">
        <f t="shared" si="55"/>
        <v>-7.9612018892354335E-4</v>
      </c>
      <c r="E586" s="2">
        <f t="shared" ca="1" si="56"/>
        <v>-1.3856189281112632</v>
      </c>
      <c r="F586">
        <f t="shared" ca="1" si="57"/>
        <v>-1.3971819220600634</v>
      </c>
      <c r="G586" s="3">
        <f t="shared" ca="1" si="60"/>
        <v>1.838080686634638</v>
      </c>
      <c r="H586">
        <f t="shared" ca="1" si="58"/>
        <v>-0.76013089752777885</v>
      </c>
      <c r="I586">
        <f t="shared" ca="1" si="59"/>
        <v>-0.66891491502729772</v>
      </c>
    </row>
    <row r="587" spans="1:9" x14ac:dyDescent="0.3">
      <c r="A587" s="1">
        <v>41029</v>
      </c>
      <c r="B587" t="s">
        <v>0</v>
      </c>
      <c r="C587">
        <v>301.29620139999997</v>
      </c>
      <c r="D587" s="2">
        <f t="shared" si="55"/>
        <v>-1.6472066160709061E-2</v>
      </c>
      <c r="E587" s="2">
        <f t="shared" ca="1" si="56"/>
        <v>-0.86053227073916805</v>
      </c>
      <c r="F587">
        <f t="shared" ca="1" si="57"/>
        <v>-0.86616725928221361</v>
      </c>
      <c r="G587" s="3">
        <f t="shared" ca="1" si="60"/>
        <v>1.8349812555625435</v>
      </c>
      <c r="H587">
        <f t="shared" ca="1" si="58"/>
        <v>-0.47203057614704402</v>
      </c>
      <c r="I587">
        <f t="shared" ca="1" si="59"/>
        <v>0.28699284457654467</v>
      </c>
    </row>
    <row r="588" spans="1:9" x14ac:dyDescent="0.3">
      <c r="A588" s="1">
        <v>41030</v>
      </c>
      <c r="B588" t="s">
        <v>0</v>
      </c>
      <c r="C588">
        <v>301.08697260000002</v>
      </c>
      <c r="D588" s="2">
        <f t="shared" si="55"/>
        <v>-6.9442893414436687E-4</v>
      </c>
      <c r="E588" s="2">
        <f t="shared" ca="1" si="56"/>
        <v>-0.15944329604100793</v>
      </c>
      <c r="F588">
        <f t="shared" ca="1" si="57"/>
        <v>-0.15403615376465224</v>
      </c>
      <c r="G588" s="3">
        <f t="shared" ca="1" si="60"/>
        <v>1.8295936708302829</v>
      </c>
      <c r="H588">
        <f t="shared" ca="1" si="58"/>
        <v>-8.4191455305346302E-2</v>
      </c>
      <c r="I588">
        <f t="shared" ca="1" si="59"/>
        <v>3.741115554780416</v>
      </c>
    </row>
    <row r="589" spans="1:9" x14ac:dyDescent="0.3">
      <c r="A589" s="1">
        <v>41031</v>
      </c>
      <c r="B589" t="s">
        <v>0</v>
      </c>
      <c r="C589">
        <v>302.49670409999999</v>
      </c>
      <c r="D589" s="2">
        <f t="shared" si="55"/>
        <v>4.6821404719918584E-3</v>
      </c>
      <c r="E589" s="2">
        <f t="shared" ca="1" si="56"/>
        <v>-4.0913994372505655</v>
      </c>
      <c r="F589">
        <f t="shared" ca="1" si="57"/>
        <v>-4.0809352813387134</v>
      </c>
      <c r="G589" s="3">
        <f t="shared" ca="1" si="60"/>
        <v>1.8228511221082064</v>
      </c>
      <c r="H589">
        <f t="shared" ca="1" si="58"/>
        <v>-2.2387649939392387</v>
      </c>
      <c r="I589">
        <f t="shared" ca="1" si="59"/>
        <v>-2.812653711879864</v>
      </c>
    </row>
    <row r="590" spans="1:9" x14ac:dyDescent="0.3">
      <c r="A590" s="1">
        <v>41032</v>
      </c>
      <c r="B590" t="s">
        <v>0</v>
      </c>
      <c r="C590">
        <v>304.36966230000002</v>
      </c>
      <c r="D590" s="2">
        <f t="shared" si="55"/>
        <v>6.1916648168862734E-3</v>
      </c>
      <c r="E590" s="2">
        <f t="shared" ca="1" si="56"/>
        <v>3.920929022912047</v>
      </c>
      <c r="F590">
        <f t="shared" ca="1" si="57"/>
        <v>3.9199653890395418</v>
      </c>
      <c r="G590" s="3">
        <f t="shared" ca="1" si="60"/>
        <v>1.849010867855156</v>
      </c>
      <c r="H590">
        <f t="shared" ca="1" si="58"/>
        <v>2.1200337202921276</v>
      </c>
      <c r="I590">
        <f t="shared" ca="1" si="59"/>
        <v>-2.7321681437577952</v>
      </c>
    </row>
    <row r="591" spans="1:9" x14ac:dyDescent="0.3">
      <c r="A591" s="1">
        <v>41033</v>
      </c>
      <c r="B591" t="s">
        <v>0</v>
      </c>
      <c r="C591">
        <v>297.37090189999998</v>
      </c>
      <c r="D591" s="2">
        <f t="shared" si="55"/>
        <v>-2.2994277245350931E-2</v>
      </c>
      <c r="E591" s="2">
        <f t="shared" ca="1" si="56"/>
        <v>0.97730712828991939</v>
      </c>
      <c r="F591">
        <f t="shared" ca="1" si="57"/>
        <v>0.9725454344118637</v>
      </c>
      <c r="G591" s="3">
        <f t="shared" ca="1" si="60"/>
        <v>1.8710927086799727</v>
      </c>
      <c r="H591">
        <f t="shared" ca="1" si="58"/>
        <v>0.5197740496236446</v>
      </c>
      <c r="I591">
        <f t="shared" ca="1" si="59"/>
        <v>5.5117960588108424E-2</v>
      </c>
    </row>
    <row r="592" spans="1:9" x14ac:dyDescent="0.3">
      <c r="A592" s="1">
        <v>41036</v>
      </c>
      <c r="B592" t="s">
        <v>0</v>
      </c>
      <c r="C592">
        <v>302.64114369999999</v>
      </c>
      <c r="D592" s="2">
        <f t="shared" si="55"/>
        <v>1.7722789171121682E-2</v>
      </c>
      <c r="E592" s="2">
        <f t="shared" ca="1" si="56"/>
        <v>-0.14261634992045574</v>
      </c>
      <c r="F592">
        <f t="shared" ca="1" si="57"/>
        <v>-0.1396157803500653</v>
      </c>
      <c r="G592" s="3">
        <f t="shared" ca="1" si="60"/>
        <v>1.8655661360990718</v>
      </c>
      <c r="H592">
        <f t="shared" ca="1" si="58"/>
        <v>-7.4838290451607406E-2</v>
      </c>
      <c r="I592">
        <f t="shared" ca="1" si="59"/>
        <v>3.9216084160462548</v>
      </c>
    </row>
    <row r="593" spans="1:9" x14ac:dyDescent="0.3">
      <c r="A593" s="1">
        <v>41037</v>
      </c>
      <c r="B593" t="s">
        <v>0</v>
      </c>
      <c r="C593">
        <v>305.25137790000002</v>
      </c>
      <c r="D593" s="2">
        <f t="shared" si="55"/>
        <v>8.62484911366675E-3</v>
      </c>
      <c r="E593" s="2">
        <f t="shared" ca="1" si="56"/>
        <v>1.0085040215132035</v>
      </c>
      <c r="F593">
        <f t="shared" ca="1" si="57"/>
        <v>1.0175381587790078</v>
      </c>
      <c r="G593" s="3">
        <f t="shared" ca="1" si="60"/>
        <v>1.8583978114004691</v>
      </c>
      <c r="H593">
        <f t="shared" ca="1" si="58"/>
        <v>0.54753516848591299</v>
      </c>
      <c r="I593">
        <f t="shared" ca="1" si="59"/>
        <v>-3.484412606987513E-2</v>
      </c>
    </row>
    <row r="594" spans="1:9" x14ac:dyDescent="0.3">
      <c r="A594" s="1">
        <v>41038</v>
      </c>
      <c r="B594" t="s">
        <v>0</v>
      </c>
      <c r="C594">
        <v>303.4381727</v>
      </c>
      <c r="D594" s="2">
        <f t="shared" si="55"/>
        <v>-5.9400393618993944E-3</v>
      </c>
      <c r="E594" s="2">
        <f t="shared" ca="1" si="56"/>
        <v>-0.36656045335490339</v>
      </c>
      <c r="F594">
        <f t="shared" ca="1" si="57"/>
        <v>-0.38016800758174057</v>
      </c>
      <c r="G594" s="3">
        <f t="shared" ca="1" si="60"/>
        <v>1.8532208459596502</v>
      </c>
      <c r="H594">
        <f t="shared" ca="1" si="58"/>
        <v>-0.20513907363527353</v>
      </c>
      <c r="I594">
        <f t="shared" ca="1" si="59"/>
        <v>1.934039863934488</v>
      </c>
    </row>
    <row r="595" spans="1:9" x14ac:dyDescent="0.3">
      <c r="A595" s="1">
        <v>41039</v>
      </c>
      <c r="B595" t="s">
        <v>0</v>
      </c>
      <c r="C595">
        <v>305.68475899999999</v>
      </c>
      <c r="D595" s="2">
        <f t="shared" si="55"/>
        <v>7.4037695389799251E-3</v>
      </c>
      <c r="E595" s="2">
        <f t="shared" ca="1" si="56"/>
        <v>1.6671994899899465</v>
      </c>
      <c r="F595">
        <f t="shared" ca="1" si="57"/>
        <v>1.6635999393818832</v>
      </c>
      <c r="G595" s="3">
        <f t="shared" ca="1" si="60"/>
        <v>1.8464321421484267</v>
      </c>
      <c r="H595">
        <f t="shared" ca="1" si="58"/>
        <v>0.90098081668259522</v>
      </c>
      <c r="I595">
        <f t="shared" ca="1" si="59"/>
        <v>-1.0179875914089689</v>
      </c>
    </row>
    <row r="596" spans="1:9" x14ac:dyDescent="0.3">
      <c r="A596" s="1">
        <v>41040</v>
      </c>
      <c r="B596" t="s">
        <v>0</v>
      </c>
      <c r="C596">
        <v>301.48547189999999</v>
      </c>
      <c r="D596" s="2">
        <f t="shared" si="55"/>
        <v>-1.3737312628007052E-2</v>
      </c>
      <c r="E596" s="2">
        <f t="shared" ca="1" si="56"/>
        <v>1.5723520869289986</v>
      </c>
      <c r="F596">
        <f t="shared" ca="1" si="57"/>
        <v>1.5738433816175423</v>
      </c>
      <c r="G596" s="3">
        <f t="shared" ca="1" si="60"/>
        <v>1.8447440882057635</v>
      </c>
      <c r="H596">
        <f t="shared" ca="1" si="58"/>
        <v>0.85314997981551743</v>
      </c>
      <c r="I596">
        <f t="shared" ca="1" si="59"/>
        <v>-0.90711747019116462</v>
      </c>
    </row>
    <row r="597" spans="1:9" x14ac:dyDescent="0.3">
      <c r="A597" s="1">
        <v>41043</v>
      </c>
      <c r="B597" t="s">
        <v>0</v>
      </c>
      <c r="C597">
        <v>300.8727695</v>
      </c>
      <c r="D597" s="2">
        <f t="shared" si="55"/>
        <v>-2.0322783586839538E-3</v>
      </c>
      <c r="E597" s="2">
        <f t="shared" ca="1" si="56"/>
        <v>-1.2240175514398708</v>
      </c>
      <c r="F597">
        <f t="shared" ca="1" si="57"/>
        <v>-1.2245318624105821</v>
      </c>
      <c r="G597" s="3">
        <f t="shared" ca="1" si="60"/>
        <v>1.8425331336985264</v>
      </c>
      <c r="H597">
        <f t="shared" ca="1" si="58"/>
        <v>-0.6645915017835109</v>
      </c>
      <c r="I597">
        <f t="shared" ca="1" si="59"/>
        <v>-0.40511999004160409</v>
      </c>
    </row>
    <row r="598" spans="1:9" x14ac:dyDescent="0.3">
      <c r="A598" s="1">
        <v>41044</v>
      </c>
      <c r="B598" t="s">
        <v>0</v>
      </c>
      <c r="C598">
        <v>304.41449269999998</v>
      </c>
      <c r="D598" s="2">
        <f t="shared" si="55"/>
        <v>1.1771497985296999E-2</v>
      </c>
      <c r="E598" s="2">
        <f t="shared" ca="1" si="56"/>
        <v>2.8591585899855159</v>
      </c>
      <c r="F598">
        <f t="shared" ca="1" si="57"/>
        <v>2.8683187243665689</v>
      </c>
      <c r="G598" s="3">
        <f t="shared" ca="1" si="60"/>
        <v>1.838483494725478</v>
      </c>
      <c r="H598">
        <f t="shared" ca="1" si="58"/>
        <v>1.5601547321994673</v>
      </c>
      <c r="I598">
        <f t="shared" ca="1" si="59"/>
        <v>-2.1074689381659444</v>
      </c>
    </row>
    <row r="599" spans="1:9" x14ac:dyDescent="0.3">
      <c r="A599" s="1">
        <v>41045</v>
      </c>
      <c r="B599" t="s">
        <v>0</v>
      </c>
      <c r="C599">
        <v>313.2912475</v>
      </c>
      <c r="D599" s="2">
        <f t="shared" si="55"/>
        <v>2.9160092613422461E-2</v>
      </c>
      <c r="E599" s="2">
        <f t="shared" ca="1" si="56"/>
        <v>-2.5749704158381763</v>
      </c>
      <c r="F599">
        <f t="shared" ca="1" si="57"/>
        <v>-2.5772147766982223</v>
      </c>
      <c r="G599" s="3">
        <f t="shared" ca="1" si="60"/>
        <v>1.8474940389847743</v>
      </c>
      <c r="H599">
        <f t="shared" ca="1" si="58"/>
        <v>-1.3949786696548372</v>
      </c>
      <c r="I599">
        <f t="shared" ca="1" si="59"/>
        <v>-1.8935465634131405</v>
      </c>
    </row>
    <row r="600" spans="1:9" x14ac:dyDescent="0.3">
      <c r="A600" s="1">
        <v>41046</v>
      </c>
      <c r="B600" t="s">
        <v>0</v>
      </c>
      <c r="C600">
        <v>310.36222670000001</v>
      </c>
      <c r="D600" s="2">
        <f t="shared" si="55"/>
        <v>-9.3491944743843806E-3</v>
      </c>
      <c r="E600" s="2">
        <f t="shared" ca="1" si="56"/>
        <v>-0.99187368645092311</v>
      </c>
      <c r="F600">
        <f t="shared" ca="1" si="57"/>
        <v>-1.007898291234324</v>
      </c>
      <c r="G600" s="3">
        <f t="shared" ca="1" si="60"/>
        <v>1.8531611441953808</v>
      </c>
      <c r="H600">
        <f t="shared" ca="1" si="58"/>
        <v>-0.54388054400522234</v>
      </c>
      <c r="I600">
        <f t="shared" ca="1" si="59"/>
        <v>-1.5820568896204337E-2</v>
      </c>
    </row>
    <row r="601" spans="1:9" x14ac:dyDescent="0.3">
      <c r="A601" s="1">
        <v>41047</v>
      </c>
      <c r="B601" t="s">
        <v>0</v>
      </c>
      <c r="C601">
        <v>299.07949209999998</v>
      </c>
      <c r="D601" s="2">
        <f t="shared" si="55"/>
        <v>-3.6353440043159817E-2</v>
      </c>
      <c r="E601" s="2">
        <f t="shared" ca="1" si="56"/>
        <v>-0.98430581959757446</v>
      </c>
      <c r="F601">
        <f t="shared" ca="1" si="57"/>
        <v>-0.99967610628359693</v>
      </c>
      <c r="G601" s="3">
        <f t="shared" ca="1" si="60"/>
        <v>1.8480239591617023</v>
      </c>
      <c r="H601">
        <f t="shared" ca="1" si="58"/>
        <v>-0.54094326067994725</v>
      </c>
      <c r="I601">
        <f t="shared" ca="1" si="59"/>
        <v>-6.7453675459859226E-4</v>
      </c>
    </row>
    <row r="602" spans="1:9" x14ac:dyDescent="0.3">
      <c r="A602" s="1">
        <v>41050</v>
      </c>
      <c r="B602" t="s">
        <v>0</v>
      </c>
      <c r="C602">
        <v>305.9089108</v>
      </c>
      <c r="D602" s="2">
        <f t="shared" si="55"/>
        <v>2.2834794362017106E-2</v>
      </c>
      <c r="E602" s="2">
        <f t="shared" ca="1" si="56"/>
        <v>3.0302935096793653</v>
      </c>
      <c r="F602">
        <f t="shared" ca="1" si="57"/>
        <v>3.0469545616711491</v>
      </c>
      <c r="G602" s="3">
        <f t="shared" ca="1" si="60"/>
        <v>1.8429305344854365</v>
      </c>
      <c r="H602">
        <f t="shared" ca="1" si="58"/>
        <v>1.6533203529138376</v>
      </c>
      <c r="I602">
        <f t="shared" ca="1" si="59"/>
        <v>-2.2283413393694729</v>
      </c>
    </row>
    <row r="603" spans="1:9" x14ac:dyDescent="0.3">
      <c r="A603" s="1">
        <v>41051</v>
      </c>
      <c r="B603" t="s">
        <v>0</v>
      </c>
      <c r="C603">
        <v>299.27874179999998</v>
      </c>
      <c r="D603" s="2">
        <f t="shared" si="55"/>
        <v>-2.1673670710215951E-2</v>
      </c>
      <c r="E603" s="2">
        <f t="shared" ca="1" si="56"/>
        <v>-0.86247534289681904</v>
      </c>
      <c r="F603">
        <f t="shared" ca="1" si="57"/>
        <v>-0.84664672235250804</v>
      </c>
      <c r="G603" s="3">
        <f t="shared" ca="1" si="60"/>
        <v>1.8537938682942936</v>
      </c>
      <c r="H603">
        <f t="shared" ca="1" si="58"/>
        <v>-0.45671028307560524</v>
      </c>
      <c r="I603">
        <f t="shared" ca="1" si="59"/>
        <v>0.33228819773596396</v>
      </c>
    </row>
    <row r="604" spans="1:9" x14ac:dyDescent="0.3">
      <c r="A604" s="1">
        <v>41052</v>
      </c>
      <c r="B604" t="s">
        <v>0</v>
      </c>
      <c r="C604">
        <v>303.5925919</v>
      </c>
      <c r="D604" s="2">
        <f t="shared" si="55"/>
        <v>1.4414154757716992E-2</v>
      </c>
      <c r="E604" s="2">
        <f t="shared" ca="1" si="56"/>
        <v>0.40590398755722112</v>
      </c>
      <c r="F604">
        <f t="shared" ca="1" si="57"/>
        <v>0.39814717609091238</v>
      </c>
      <c r="G604" s="3">
        <f t="shared" ca="1" si="60"/>
        <v>1.8480816047986957</v>
      </c>
      <c r="H604">
        <f t="shared" ca="1" si="58"/>
        <v>0.21543809269952718</v>
      </c>
      <c r="I604">
        <f t="shared" ca="1" si="59"/>
        <v>1.8405564426324819</v>
      </c>
    </row>
    <row r="605" spans="1:9" x14ac:dyDescent="0.3">
      <c r="A605" s="1">
        <v>41053</v>
      </c>
      <c r="B605" t="s">
        <v>0</v>
      </c>
      <c r="C605">
        <v>300.70339630000001</v>
      </c>
      <c r="D605" s="2">
        <f t="shared" si="55"/>
        <v>-9.5166867607614815E-3</v>
      </c>
      <c r="E605" s="2">
        <f t="shared" ca="1" si="56"/>
        <v>-5.1409759344518369</v>
      </c>
      <c r="F605">
        <f t="shared" ca="1" si="57"/>
        <v>-5.1317776140769151</v>
      </c>
      <c r="G605" s="3">
        <f t="shared" ca="1" si="60"/>
        <v>1.8413811879858684</v>
      </c>
      <c r="H605">
        <f t="shared" ca="1" si="58"/>
        <v>-2.7869175853209045</v>
      </c>
      <c r="I605">
        <f t="shared" ca="1" si="59"/>
        <v>-3.270907664281518</v>
      </c>
    </row>
    <row r="606" spans="1:9" x14ac:dyDescent="0.3">
      <c r="A606" s="1">
        <v>41054</v>
      </c>
      <c r="B606" t="s">
        <v>0</v>
      </c>
      <c r="C606">
        <v>294.66105800000003</v>
      </c>
      <c r="D606" s="2">
        <f t="shared" si="55"/>
        <v>-2.009401414931735E-2</v>
      </c>
      <c r="E606" s="2">
        <f t="shared" ca="1" si="56"/>
        <v>1.9464891039125862</v>
      </c>
      <c r="F606">
        <f t="shared" ca="1" si="57"/>
        <v>1.9403510044453351</v>
      </c>
      <c r="G606" s="3">
        <f t="shared" ca="1" si="60"/>
        <v>1.8846538410596314</v>
      </c>
      <c r="H606">
        <f t="shared" ca="1" si="58"/>
        <v>1.0295529938560963</v>
      </c>
      <c r="I606">
        <f t="shared" ca="1" si="59"/>
        <v>-1.3258450176232168</v>
      </c>
    </row>
    <row r="607" spans="1:9" x14ac:dyDescent="0.3">
      <c r="A607" s="1">
        <v>41058</v>
      </c>
      <c r="B607" t="s">
        <v>0</v>
      </c>
      <c r="C607">
        <v>296.06081039999998</v>
      </c>
      <c r="D607" s="2">
        <f t="shared" si="55"/>
        <v>4.7503813686841315E-3</v>
      </c>
      <c r="E607" s="2">
        <f t="shared" ca="1" si="56"/>
        <v>0.70415613708937053</v>
      </c>
      <c r="F607">
        <f t="shared" ca="1" si="57"/>
        <v>0.71607348708989349</v>
      </c>
      <c r="G607" s="3">
        <f t="shared" ca="1" si="60"/>
        <v>1.8840051560633131</v>
      </c>
      <c r="H607">
        <f t="shared" ca="1" si="58"/>
        <v>0.3800804285409447</v>
      </c>
      <c r="I607">
        <f t="shared" ca="1" si="59"/>
        <v>0.66790095434862573</v>
      </c>
    </row>
    <row r="608" spans="1:9" x14ac:dyDescent="0.3">
      <c r="A608" s="1">
        <v>41059</v>
      </c>
      <c r="B608" t="s">
        <v>0</v>
      </c>
      <c r="C608">
        <v>293.01719559999998</v>
      </c>
      <c r="D608" s="2">
        <f t="shared" si="55"/>
        <v>-1.0280370427574835E-2</v>
      </c>
      <c r="E608" s="2">
        <f t="shared" ca="1" si="56"/>
        <v>-5.5386957829035514E-2</v>
      </c>
      <c r="F608">
        <f t="shared" ca="1" si="57"/>
        <v>-4.4290881128097322E-2</v>
      </c>
      <c r="G608" s="3">
        <f t="shared" ca="1" si="60"/>
        <v>1.8775147699997989</v>
      </c>
      <c r="H608">
        <f t="shared" ca="1" si="58"/>
        <v>-2.3590163888884914E-2</v>
      </c>
      <c r="I608">
        <f t="shared" ca="1" si="59"/>
        <v>6.1800777345285649</v>
      </c>
    </row>
    <row r="609" spans="1:9" x14ac:dyDescent="0.3">
      <c r="A609" s="1">
        <v>41060</v>
      </c>
      <c r="B609" t="s">
        <v>0</v>
      </c>
      <c r="C609">
        <v>289.34595530000001</v>
      </c>
      <c r="D609" s="2">
        <f t="shared" si="55"/>
        <v>-1.2529095067211017E-2</v>
      </c>
      <c r="E609" s="2">
        <f t="shared" ca="1" si="56"/>
        <v>-0.22372205086769648</v>
      </c>
      <c r="F609">
        <f t="shared" ca="1" si="57"/>
        <v>-0.22361484648119689</v>
      </c>
      <c r="G609" s="3">
        <f t="shared" ca="1" si="60"/>
        <v>1.8701770401292925</v>
      </c>
      <c r="H609">
        <f t="shared" ca="1" si="58"/>
        <v>-0.11956881176647187</v>
      </c>
      <c r="I609">
        <f t="shared" ca="1" si="59"/>
        <v>2.9925209463501639</v>
      </c>
    </row>
    <row r="610" spans="1:9" x14ac:dyDescent="0.3">
      <c r="A610" s="1">
        <v>41061</v>
      </c>
      <c r="B610" t="s">
        <v>0</v>
      </c>
      <c r="C610">
        <v>284.42440749999997</v>
      </c>
      <c r="D610" s="2">
        <f t="shared" si="55"/>
        <v>-1.7009215818818951E-2</v>
      </c>
      <c r="E610" s="2">
        <f t="shared" ca="1" si="56"/>
        <v>-0.46927502248700648</v>
      </c>
      <c r="F610">
        <f t="shared" ca="1" si="57"/>
        <v>-0.45913772661997465</v>
      </c>
      <c r="G610" s="3">
        <f t="shared" ca="1" si="60"/>
        <v>1.8630118836415457</v>
      </c>
      <c r="H610">
        <f t="shared" ca="1" si="58"/>
        <v>-0.24644916688481813</v>
      </c>
      <c r="I610">
        <f t="shared" ca="1" si="59"/>
        <v>1.5554377058176012</v>
      </c>
    </row>
    <row r="611" spans="1:9" x14ac:dyDescent="0.3">
      <c r="A611" s="1">
        <v>41064</v>
      </c>
      <c r="B611" t="s">
        <v>0</v>
      </c>
      <c r="C611">
        <v>288.21518520000001</v>
      </c>
      <c r="D611" s="2">
        <f t="shared" si="55"/>
        <v>1.332789170001184E-2</v>
      </c>
      <c r="E611" s="2">
        <f t="shared" ca="1" si="56"/>
        <v>-0.34976702680526034</v>
      </c>
      <c r="F611">
        <f t="shared" ca="1" si="57"/>
        <v>-0.33689364035340119</v>
      </c>
      <c r="G611" s="3">
        <f t="shared" ca="1" si="60"/>
        <v>1.8562299447884634</v>
      </c>
      <c r="H611">
        <f t="shared" ca="1" si="58"/>
        <v>-0.18149348430632806</v>
      </c>
      <c r="I611">
        <f t="shared" ca="1" si="59"/>
        <v>2.1744109287307674</v>
      </c>
    </row>
    <row r="612" spans="1:9" x14ac:dyDescent="0.3">
      <c r="A612" s="1">
        <v>41065</v>
      </c>
      <c r="B612" t="s">
        <v>0</v>
      </c>
      <c r="C612">
        <v>284.1404713</v>
      </c>
      <c r="D612" s="2">
        <f t="shared" si="55"/>
        <v>-1.4137748839196159E-2</v>
      </c>
      <c r="E612" s="2">
        <f t="shared" ca="1" si="56"/>
        <v>1.0766020046279599</v>
      </c>
      <c r="F612">
        <f t="shared" ca="1" si="57"/>
        <v>1.0832196704485464</v>
      </c>
      <c r="G612" s="3">
        <f t="shared" ca="1" si="60"/>
        <v>1.8493467416161165</v>
      </c>
      <c r="H612">
        <f t="shared" ca="1" si="58"/>
        <v>0.58573097519934902</v>
      </c>
      <c r="I612">
        <f t="shared" ca="1" si="59"/>
        <v>-0.16004590940445096</v>
      </c>
    </row>
    <row r="613" spans="1:9" x14ac:dyDescent="0.3">
      <c r="A613" s="1">
        <v>41066</v>
      </c>
      <c r="B613" t="s">
        <v>0</v>
      </c>
      <c r="C613">
        <v>289.2014848</v>
      </c>
      <c r="D613" s="2">
        <f t="shared" si="55"/>
        <v>1.7811660116015305E-2</v>
      </c>
      <c r="E613" s="2">
        <f t="shared" ca="1" si="56"/>
        <v>-1.5765565862453734</v>
      </c>
      <c r="F613">
        <f t="shared" ca="1" si="57"/>
        <v>-1.5806404322832763</v>
      </c>
      <c r="G613" s="3">
        <f t="shared" ca="1" si="60"/>
        <v>1.8445655167694692</v>
      </c>
      <c r="H613">
        <f t="shared" ca="1" si="58"/>
        <v>-0.85691747889311876</v>
      </c>
      <c r="I613">
        <f t="shared" ca="1" si="59"/>
        <v>-0.91578718573546614</v>
      </c>
    </row>
    <row r="614" spans="1:9" x14ac:dyDescent="0.3">
      <c r="A614" s="1">
        <v>41067</v>
      </c>
      <c r="B614" t="s">
        <v>0</v>
      </c>
      <c r="C614">
        <v>288.03586389999998</v>
      </c>
      <c r="D614" s="2">
        <f t="shared" si="55"/>
        <v>-4.0304803442005764E-3</v>
      </c>
      <c r="E614" s="2">
        <f t="shared" ca="1" si="56"/>
        <v>0.36136003282101409</v>
      </c>
      <c r="F614">
        <f t="shared" ca="1" si="57"/>
        <v>0.36485274085067665</v>
      </c>
      <c r="G614" s="3">
        <f t="shared" ca="1" si="60"/>
        <v>1.8423991093565122</v>
      </c>
      <c r="H614">
        <f t="shared" ca="1" si="58"/>
        <v>0.19803132719604244</v>
      </c>
      <c r="I614">
        <f t="shared" ca="1" si="59"/>
        <v>2.0164008797537534</v>
      </c>
    </row>
    <row r="615" spans="1:9" x14ac:dyDescent="0.3">
      <c r="A615" s="1">
        <v>41068</v>
      </c>
      <c r="B615" t="s">
        <v>0</v>
      </c>
      <c r="C615">
        <v>289.1417313</v>
      </c>
      <c r="D615" s="2">
        <f t="shared" si="55"/>
        <v>3.8393392580583518E-3</v>
      </c>
      <c r="E615" s="2">
        <f t="shared" ca="1" si="56"/>
        <v>0.91294043068729425</v>
      </c>
      <c r="F615">
        <f t="shared" ca="1" si="57"/>
        <v>0.90305091869977849</v>
      </c>
      <c r="G615" s="3">
        <f t="shared" ca="1" si="60"/>
        <v>1.8357181514477006</v>
      </c>
      <c r="H615">
        <f t="shared" ca="1" si="58"/>
        <v>0.49193331666280382</v>
      </c>
      <c r="I615">
        <f t="shared" ca="1" si="59"/>
        <v>0.20393460214179079</v>
      </c>
    </row>
    <row r="616" spans="1:9" x14ac:dyDescent="0.3">
      <c r="A616" s="1">
        <v>41071</v>
      </c>
      <c r="B616" t="s">
        <v>0</v>
      </c>
      <c r="C616">
        <v>283.18902300000002</v>
      </c>
      <c r="D616" s="2">
        <f t="shared" si="55"/>
        <v>-2.0587510053412975E-2</v>
      </c>
      <c r="E616" s="2">
        <f t="shared" ca="1" si="56"/>
        <v>-1.0305063142661326</v>
      </c>
      <c r="F616">
        <f t="shared" ca="1" si="57"/>
        <v>-1.0291413057469418</v>
      </c>
      <c r="G616" s="3">
        <f t="shared" ca="1" si="60"/>
        <v>1.8304474145437191</v>
      </c>
      <c r="H616">
        <f t="shared" ca="1" si="58"/>
        <v>-0.56223483808928698</v>
      </c>
      <c r="I616">
        <f t="shared" ca="1" si="59"/>
        <v>-5.7849723659323463E-2</v>
      </c>
    </row>
    <row r="617" spans="1:9" x14ac:dyDescent="0.3">
      <c r="A617" s="1">
        <v>41072</v>
      </c>
      <c r="B617" t="s">
        <v>0</v>
      </c>
      <c r="C617">
        <v>281.49535580000003</v>
      </c>
      <c r="D617" s="2">
        <f t="shared" si="55"/>
        <v>-5.9806950921257743E-3</v>
      </c>
      <c r="E617" s="2">
        <f t="shared" ca="1" si="56"/>
        <v>1.3780550416509807</v>
      </c>
      <c r="F617">
        <f t="shared" ca="1" si="57"/>
        <v>1.3818027817786886</v>
      </c>
      <c r="G617" s="3">
        <f t="shared" ca="1" si="60"/>
        <v>1.8257302994389029</v>
      </c>
      <c r="H617">
        <f t="shared" ca="1" si="58"/>
        <v>0.75684934527479475</v>
      </c>
      <c r="I617">
        <f t="shared" ca="1" si="59"/>
        <v>-0.64679675361938826</v>
      </c>
    </row>
    <row r="618" spans="1:9" x14ac:dyDescent="0.3">
      <c r="A618" s="1">
        <v>41073</v>
      </c>
      <c r="B618" t="s">
        <v>0</v>
      </c>
      <c r="C618">
        <v>279.49785489999999</v>
      </c>
      <c r="D618" s="2">
        <f t="shared" si="55"/>
        <v>-7.0960350103226599E-3</v>
      </c>
      <c r="E618" s="2">
        <f t="shared" ca="1" si="56"/>
        <v>-1.1439893314635055</v>
      </c>
      <c r="F618">
        <f t="shared" ca="1" si="57"/>
        <v>-1.1293863203521386</v>
      </c>
      <c r="G618" s="3">
        <f t="shared" ca="1" si="60"/>
        <v>1.8227667997001322</v>
      </c>
      <c r="H618">
        <f t="shared" ca="1" si="58"/>
        <v>-0.61960000617629019</v>
      </c>
      <c r="I618">
        <f t="shared" ca="1" si="59"/>
        <v>-0.24338828894782674</v>
      </c>
    </row>
    <row r="619" spans="1:9" x14ac:dyDescent="0.3">
      <c r="A619" s="1">
        <v>41074</v>
      </c>
      <c r="B619" t="s">
        <v>0</v>
      </c>
      <c r="C619">
        <v>278.48164789999998</v>
      </c>
      <c r="D619" s="2">
        <f t="shared" si="55"/>
        <v>-3.6358311242266658E-3</v>
      </c>
      <c r="E619" s="2">
        <f t="shared" ca="1" si="56"/>
        <v>1.9863409086107555</v>
      </c>
      <c r="F619">
        <f t="shared" ca="1" si="57"/>
        <v>1.992180860099722</v>
      </c>
      <c r="G619" s="3">
        <f t="shared" ca="1" si="60"/>
        <v>1.8185958216982181</v>
      </c>
      <c r="H619">
        <f t="shared" ca="1" si="58"/>
        <v>1.0954500369628084</v>
      </c>
      <c r="I619">
        <f t="shared" ca="1" si="59"/>
        <v>-1.3784632273375577</v>
      </c>
    </row>
    <row r="620" spans="1:9" x14ac:dyDescent="0.3">
      <c r="A620" s="1">
        <v>41075</v>
      </c>
      <c r="B620" t="s">
        <v>0</v>
      </c>
      <c r="C620">
        <v>281.2014709</v>
      </c>
      <c r="D620" s="2">
        <f t="shared" si="55"/>
        <v>9.7666148577829487E-3</v>
      </c>
      <c r="E620" s="2">
        <f t="shared" ca="1" si="56"/>
        <v>1.3027858887729484</v>
      </c>
      <c r="F620">
        <f t="shared" ca="1" si="57"/>
        <v>1.3082886455296792</v>
      </c>
      <c r="G620" s="3">
        <f t="shared" ca="1" si="60"/>
        <v>1.819876850373743</v>
      </c>
      <c r="H620">
        <f t="shared" ca="1" si="58"/>
        <v>0.71888855845438093</v>
      </c>
      <c r="I620">
        <f t="shared" ca="1" si="59"/>
        <v>-0.53749554036498615</v>
      </c>
    </row>
    <row r="621" spans="1:9" x14ac:dyDescent="0.3">
      <c r="A621" s="1">
        <v>41078</v>
      </c>
      <c r="B621" t="s">
        <v>0</v>
      </c>
      <c r="C621">
        <v>284.35964869999998</v>
      </c>
      <c r="D621" s="2">
        <f t="shared" si="55"/>
        <v>1.1231014510315549E-2</v>
      </c>
      <c r="E621" s="2">
        <f t="shared" ca="1" si="56"/>
        <v>0.6032445173590667</v>
      </c>
      <c r="F621">
        <f t="shared" ca="1" si="57"/>
        <v>0.60259647037171626</v>
      </c>
      <c r="G621" s="3">
        <f t="shared" ca="1" si="60"/>
        <v>1.8166229898854653</v>
      </c>
      <c r="H621">
        <f t="shared" ca="1" si="58"/>
        <v>0.33171245422238593</v>
      </c>
      <c r="I621">
        <f t="shared" ca="1" si="59"/>
        <v>1.012667655268265</v>
      </c>
    </row>
    <row r="622" spans="1:9" x14ac:dyDescent="0.3">
      <c r="A622" s="1">
        <v>41079</v>
      </c>
      <c r="B622" t="s">
        <v>0</v>
      </c>
      <c r="C622">
        <v>289.67969590000001</v>
      </c>
      <c r="D622" s="2">
        <f t="shared" si="55"/>
        <v>1.8708868238941644E-2</v>
      </c>
      <c r="E622" s="2">
        <f t="shared" ca="1" si="56"/>
        <v>1.4472243293808627</v>
      </c>
      <c r="F622">
        <f t="shared" ca="1" si="57"/>
        <v>1.4377939901716996</v>
      </c>
      <c r="G622" s="3">
        <f t="shared" ca="1" si="60"/>
        <v>1.8107152712947887</v>
      </c>
      <c r="H622">
        <f t="shared" ca="1" si="58"/>
        <v>0.79404753081006263</v>
      </c>
      <c r="I622">
        <f t="shared" ca="1" si="59"/>
        <v>-0.72638929280660725</v>
      </c>
    </row>
    <row r="623" spans="1:9" x14ac:dyDescent="0.3">
      <c r="A623" s="1">
        <v>41080</v>
      </c>
      <c r="B623" t="s">
        <v>0</v>
      </c>
      <c r="C623">
        <v>287.67722070000002</v>
      </c>
      <c r="D623" s="2">
        <f t="shared" si="55"/>
        <v>-6.9127219765214897E-3</v>
      </c>
      <c r="E623" s="2">
        <f t="shared" ca="1" si="56"/>
        <v>1.3164437687868149</v>
      </c>
      <c r="F623">
        <f t="shared" ca="1" si="57"/>
        <v>1.303871915198455</v>
      </c>
      <c r="G623" s="3">
        <f t="shared" ca="1" si="60"/>
        <v>1.8083414754724125</v>
      </c>
      <c r="H623">
        <f t="shared" ca="1" si="58"/>
        <v>0.72103191398506772</v>
      </c>
      <c r="I623">
        <f t="shared" ca="1" si="59"/>
        <v>-0.53070457617286215</v>
      </c>
    </row>
    <row r="624" spans="1:9" x14ac:dyDescent="0.3">
      <c r="A624" s="1">
        <v>41081</v>
      </c>
      <c r="B624" t="s">
        <v>0</v>
      </c>
      <c r="C624">
        <v>281.55016540000003</v>
      </c>
      <c r="D624" s="2">
        <f t="shared" si="55"/>
        <v>-2.12983679593787E-2</v>
      </c>
      <c r="E624" s="2">
        <f t="shared" ca="1" si="56"/>
        <v>0.89016204170752955</v>
      </c>
      <c r="F624">
        <f t="shared" ca="1" si="57"/>
        <v>0.88057322603080679</v>
      </c>
      <c r="G624" s="3">
        <f t="shared" ca="1" si="60"/>
        <v>1.8052645868674686</v>
      </c>
      <c r="H624">
        <f t="shared" ca="1" si="58"/>
        <v>0.48778070119837402</v>
      </c>
      <c r="I624">
        <f t="shared" ca="1" si="59"/>
        <v>0.25377937285858665</v>
      </c>
    </row>
    <row r="625" spans="1:9" x14ac:dyDescent="0.3">
      <c r="A625" s="1">
        <v>41082</v>
      </c>
      <c r="B625" t="s">
        <v>0</v>
      </c>
      <c r="C625">
        <v>284.67346199999997</v>
      </c>
      <c r="D625" s="2">
        <f t="shared" si="55"/>
        <v>1.1093215291003862E-2</v>
      </c>
      <c r="E625" s="2">
        <f t="shared" ca="1" si="56"/>
        <v>-1.3289705678967387</v>
      </c>
      <c r="F625">
        <f t="shared" ca="1" si="57"/>
        <v>-1.3183156014839539</v>
      </c>
      <c r="G625" s="3">
        <f t="shared" ca="1" si="60"/>
        <v>1.8003483291452029</v>
      </c>
      <c r="H625">
        <f t="shared" ca="1" si="58"/>
        <v>-0.73225585301589058</v>
      </c>
      <c r="I625">
        <f t="shared" ca="1" si="59"/>
        <v>-0.55278053150308804</v>
      </c>
    </row>
    <row r="626" spans="1:9" x14ac:dyDescent="0.3">
      <c r="A626" s="1">
        <v>41085</v>
      </c>
      <c r="B626" t="s">
        <v>0</v>
      </c>
      <c r="C626">
        <v>279.30357959999998</v>
      </c>
      <c r="D626" s="2">
        <f t="shared" si="55"/>
        <v>-1.8863305213887464E-2</v>
      </c>
      <c r="E626" s="2">
        <f t="shared" ca="1" si="56"/>
        <v>-3.0896100970509148</v>
      </c>
      <c r="F626">
        <f t="shared" ca="1" si="57"/>
        <v>-3.0796552870804179</v>
      </c>
      <c r="G626" s="3">
        <f t="shared" ca="1" si="60"/>
        <v>1.7974894949424121</v>
      </c>
      <c r="H626">
        <f t="shared" ca="1" si="58"/>
        <v>-1.71330919916118</v>
      </c>
      <c r="I626">
        <f t="shared" ca="1" si="59"/>
        <v>-2.2496728591678821</v>
      </c>
    </row>
    <row r="627" spans="1:9" x14ac:dyDescent="0.3">
      <c r="A627" s="1">
        <v>41086</v>
      </c>
      <c r="B627" t="s">
        <v>0</v>
      </c>
      <c r="C627">
        <v>281.28615739999998</v>
      </c>
      <c r="D627" s="2">
        <f t="shared" si="55"/>
        <v>7.0982899783787858E-3</v>
      </c>
      <c r="E627" s="2">
        <f t="shared" ca="1" si="56"/>
        <v>-1.1600185019563594</v>
      </c>
      <c r="F627">
        <f t="shared" ca="1" si="57"/>
        <v>-1.1613018247755702</v>
      </c>
      <c r="G627" s="3">
        <f t="shared" ca="1" si="60"/>
        <v>1.8106658060939715</v>
      </c>
      <c r="H627">
        <f t="shared" ca="1" si="58"/>
        <v>-0.64136729200225473</v>
      </c>
      <c r="I627">
        <f t="shared" ca="1" si="59"/>
        <v>-0.29912063807331529</v>
      </c>
    </row>
    <row r="628" spans="1:9" x14ac:dyDescent="0.3">
      <c r="A628" s="1">
        <v>41087</v>
      </c>
      <c r="B628" t="s">
        <v>0</v>
      </c>
      <c r="C628">
        <v>283.58752229999999</v>
      </c>
      <c r="D628" s="2">
        <f t="shared" si="55"/>
        <v>8.1815789346767562E-3</v>
      </c>
      <c r="E628" s="2">
        <f t="shared" ca="1" si="56"/>
        <v>-2.6308681269477052</v>
      </c>
      <c r="F628">
        <f t="shared" ca="1" si="57"/>
        <v>-2.6212384738417067</v>
      </c>
      <c r="G628" s="3">
        <f t="shared" ca="1" si="60"/>
        <v>1.8068355034798875</v>
      </c>
      <c r="H628">
        <f t="shared" ca="1" si="58"/>
        <v>-1.4507344297769853</v>
      </c>
      <c r="I628">
        <f t="shared" ca="1" si="59"/>
        <v>-1.9273035543432229</v>
      </c>
    </row>
    <row r="629" spans="1:9" x14ac:dyDescent="0.3">
      <c r="A629" s="1">
        <v>41088</v>
      </c>
      <c r="B629" t="s">
        <v>0</v>
      </c>
      <c r="C629">
        <v>281.10183080000002</v>
      </c>
      <c r="D629" s="2">
        <f t="shared" si="55"/>
        <v>-8.7651652648187521E-3</v>
      </c>
      <c r="E629" s="2">
        <f t="shared" ca="1" si="56"/>
        <v>-0.3458000123347662</v>
      </c>
      <c r="F629">
        <f t="shared" ca="1" si="57"/>
        <v>-0.35265955815123379</v>
      </c>
      <c r="G629" s="3">
        <f t="shared" ca="1" si="60"/>
        <v>1.8143075151691503</v>
      </c>
      <c r="H629">
        <f t="shared" ca="1" si="58"/>
        <v>-0.19437694834128208</v>
      </c>
      <c r="I629">
        <f t="shared" ca="1" si="59"/>
        <v>2.0838864792944518</v>
      </c>
    </row>
    <row r="630" spans="1:9" x14ac:dyDescent="0.3">
      <c r="A630" s="1">
        <v>41089</v>
      </c>
      <c r="B630" t="s">
        <v>0</v>
      </c>
      <c r="C630">
        <v>288.95243040000003</v>
      </c>
      <c r="D630" s="2">
        <f t="shared" si="55"/>
        <v>2.7927956134820055E-2</v>
      </c>
      <c r="E630" s="2">
        <f t="shared" ca="1" si="56"/>
        <v>-0.41430560247167897</v>
      </c>
      <c r="F630">
        <f t="shared" ca="1" si="57"/>
        <v>-0.4167867752936113</v>
      </c>
      <c r="G630" s="3">
        <f t="shared" ca="1" si="60"/>
        <v>1.807947535521067</v>
      </c>
      <c r="H630">
        <f t="shared" ca="1" si="58"/>
        <v>-0.2305303484226878</v>
      </c>
      <c r="I630">
        <f t="shared" ca="1" si="59"/>
        <v>1.7458709939283492</v>
      </c>
    </row>
    <row r="631" spans="1:9" x14ac:dyDescent="0.3">
      <c r="A631" s="1">
        <v>41092</v>
      </c>
      <c r="B631" t="s">
        <v>0</v>
      </c>
      <c r="C631">
        <v>289.15168</v>
      </c>
      <c r="D631" s="2">
        <f t="shared" si="55"/>
        <v>6.8955848450262167E-4</v>
      </c>
      <c r="E631" s="2">
        <f t="shared" ca="1" si="56"/>
        <v>3.6871779150821462</v>
      </c>
      <c r="F631">
        <f t="shared" ca="1" si="57"/>
        <v>3.6843088032025864</v>
      </c>
      <c r="G631" s="3">
        <f t="shared" ca="1" si="60"/>
        <v>1.8017653167549861</v>
      </c>
      <c r="H631">
        <f t="shared" ca="1" si="58"/>
        <v>2.0448327920076168</v>
      </c>
      <c r="I631">
        <f t="shared" ca="1" si="59"/>
        <v>-2.6081659103934567</v>
      </c>
    </row>
    <row r="632" spans="1:9" x14ac:dyDescent="0.3">
      <c r="A632" s="1">
        <v>41093</v>
      </c>
      <c r="B632" t="s">
        <v>0</v>
      </c>
      <c r="C632">
        <v>292.81794600000001</v>
      </c>
      <c r="D632" s="2">
        <f t="shared" si="55"/>
        <v>1.2679386818710538E-2</v>
      </c>
      <c r="E632" s="2">
        <f t="shared" ca="1" si="56"/>
        <v>-1.5840712874273317</v>
      </c>
      <c r="F632">
        <f t="shared" ca="1" si="57"/>
        <v>-1.6016675359956514</v>
      </c>
      <c r="G632" s="3">
        <f t="shared" ca="1" si="60"/>
        <v>1.8230779777363491</v>
      </c>
      <c r="H632">
        <f t="shared" ca="1" si="58"/>
        <v>-0.878551304746923</v>
      </c>
      <c r="I632">
        <f t="shared" ca="1" si="59"/>
        <v>-0.94215326189300297</v>
      </c>
    </row>
    <row r="633" spans="1:9" x14ac:dyDescent="0.3">
      <c r="A633" s="1">
        <v>41095</v>
      </c>
      <c r="B633" t="s">
        <v>0</v>
      </c>
      <c r="C633">
        <v>296.84785979999998</v>
      </c>
      <c r="D633" s="2">
        <f t="shared" si="55"/>
        <v>1.3762523284689574E-2</v>
      </c>
      <c r="E633" s="2">
        <f t="shared" ca="1" si="56"/>
        <v>-1.8552376156177184</v>
      </c>
      <c r="F633">
        <f t="shared" ca="1" si="57"/>
        <v>-1.8594475563657211</v>
      </c>
      <c r="G633" s="3">
        <f t="shared" ca="1" si="60"/>
        <v>1.8214645431179859</v>
      </c>
      <c r="H633">
        <f t="shared" ca="1" si="58"/>
        <v>-1.0208530072085378</v>
      </c>
      <c r="I633">
        <f t="shared" ca="1" si="59"/>
        <v>-1.2406136425897667</v>
      </c>
    </row>
    <row r="634" spans="1:9" x14ac:dyDescent="0.3">
      <c r="A634" s="1">
        <v>41096</v>
      </c>
      <c r="B634" t="s">
        <v>0</v>
      </c>
      <c r="C634">
        <v>291.89640509999998</v>
      </c>
      <c r="D634" s="2">
        <f t="shared" si="55"/>
        <v>-1.6680109141888447E-2</v>
      </c>
      <c r="E634" s="2">
        <f t="shared" ca="1" si="56"/>
        <v>-1.5279269870130057</v>
      </c>
      <c r="F634">
        <f t="shared" ca="1" si="57"/>
        <v>-1.5399259081324175</v>
      </c>
      <c r="G634" s="3">
        <f t="shared" ca="1" si="60"/>
        <v>1.8216585020357745</v>
      </c>
      <c r="H634">
        <f t="shared" ca="1" si="58"/>
        <v>-0.84534280514788596</v>
      </c>
      <c r="I634">
        <f t="shared" ca="1" si="59"/>
        <v>-0.86358593437442843</v>
      </c>
    </row>
    <row r="635" spans="1:9" x14ac:dyDescent="0.3">
      <c r="A635" s="1">
        <v>41099</v>
      </c>
      <c r="B635" t="s">
        <v>0</v>
      </c>
      <c r="C635">
        <v>291.91135860000003</v>
      </c>
      <c r="D635" s="2">
        <f t="shared" si="55"/>
        <v>5.1228791238193005E-5</v>
      </c>
      <c r="E635" s="2">
        <f t="shared" ca="1" si="56"/>
        <v>-3.4562295719428464</v>
      </c>
      <c r="F635">
        <f t="shared" ca="1" si="57"/>
        <v>-3.4598260176535365</v>
      </c>
      <c r="G635" s="3">
        <f t="shared" ca="1" si="60"/>
        <v>1.8196874682508237</v>
      </c>
      <c r="H635">
        <f t="shared" ca="1" si="58"/>
        <v>-1.9013298041664801</v>
      </c>
      <c r="I635">
        <f t="shared" ca="1" si="59"/>
        <v>-2.482436607999623</v>
      </c>
    </row>
    <row r="636" spans="1:9" x14ac:dyDescent="0.3">
      <c r="A636" s="1">
        <v>41100</v>
      </c>
      <c r="B636" t="s">
        <v>0</v>
      </c>
      <c r="C636">
        <v>289.76438250000001</v>
      </c>
      <c r="D636" s="2">
        <f t="shared" si="55"/>
        <v>-7.3548905746486336E-3</v>
      </c>
      <c r="E636" s="2">
        <f t="shared" ca="1" si="56"/>
        <v>0.93494887840635177</v>
      </c>
      <c r="F636">
        <f t="shared" ca="1" si="57"/>
        <v>0.94532025263137165</v>
      </c>
      <c r="G636" s="3">
        <f t="shared" ca="1" si="60"/>
        <v>1.8368215610785079</v>
      </c>
      <c r="H636">
        <f t="shared" ca="1" si="58"/>
        <v>0.51465001972010693</v>
      </c>
      <c r="I636">
        <f t="shared" ca="1" si="59"/>
        <v>0.11240250112979573</v>
      </c>
    </row>
    <row r="637" spans="1:9" x14ac:dyDescent="0.3">
      <c r="A637" s="1">
        <v>41101</v>
      </c>
      <c r="B637" t="s">
        <v>0</v>
      </c>
      <c r="C637">
        <v>284.52899150000002</v>
      </c>
      <c r="D637" s="2">
        <f t="shared" si="55"/>
        <v>-1.8067751995019584E-2</v>
      </c>
      <c r="E637" s="2">
        <f t="shared" ca="1" si="56"/>
        <v>-3.6421705359106809</v>
      </c>
      <c r="F637">
        <f t="shared" ca="1" si="57"/>
        <v>-3.6400094617213563</v>
      </c>
      <c r="G637" s="3">
        <f t="shared" ca="1" si="60"/>
        <v>1.8316871302489375</v>
      </c>
      <c r="H637">
        <f t="shared" ca="1" si="58"/>
        <v>-1.9872441104211158</v>
      </c>
      <c r="I637">
        <f t="shared" ca="1" si="59"/>
        <v>-2.5839971999117632</v>
      </c>
    </row>
    <row r="638" spans="1:9" x14ac:dyDescent="0.3">
      <c r="A638" s="1">
        <v>41102</v>
      </c>
      <c r="B638" t="s">
        <v>0</v>
      </c>
      <c r="C638">
        <v>284.17532260000002</v>
      </c>
      <c r="D638" s="2">
        <f t="shared" si="55"/>
        <v>-1.2429977631998263E-3</v>
      </c>
      <c r="E638" s="2">
        <f t="shared" ca="1" si="56"/>
        <v>0.86114825284227459</v>
      </c>
      <c r="F638">
        <f t="shared" ca="1" si="57"/>
        <v>0.87111529814865374</v>
      </c>
      <c r="G638" s="3">
        <f t="shared" ca="1" si="60"/>
        <v>1.8506996817062653</v>
      </c>
      <c r="H638">
        <f t="shared" ca="1" si="58"/>
        <v>0.4706951142637702</v>
      </c>
      <c r="I638">
        <f t="shared" ca="1" si="59"/>
        <v>0.27595983681994385</v>
      </c>
    </row>
    <row r="639" spans="1:9" x14ac:dyDescent="0.3">
      <c r="A639" s="1">
        <v>41103</v>
      </c>
      <c r="B639" t="s">
        <v>0</v>
      </c>
      <c r="C639">
        <v>287.18405569999999</v>
      </c>
      <c r="D639" s="2">
        <f t="shared" si="55"/>
        <v>1.0587594561245594E-2</v>
      </c>
      <c r="E639" s="2">
        <f t="shared" ca="1" si="56"/>
        <v>-1.8511778320970422</v>
      </c>
      <c r="F639">
        <f t="shared" ca="1" si="57"/>
        <v>-1.8395564836189864</v>
      </c>
      <c r="G639" s="3">
        <f t="shared" ca="1" si="60"/>
        <v>1.8451098081527222</v>
      </c>
      <c r="H639">
        <f t="shared" ca="1" si="58"/>
        <v>-0.99699024713369466</v>
      </c>
      <c r="I639">
        <f t="shared" ca="1" si="59"/>
        <v>-1.2190821280591768</v>
      </c>
    </row>
    <row r="640" spans="1:9" x14ac:dyDescent="0.3">
      <c r="A640" s="1">
        <v>41106</v>
      </c>
      <c r="B640" t="s">
        <v>0</v>
      </c>
      <c r="C640">
        <v>286.38705700000003</v>
      </c>
      <c r="D640" s="2">
        <f t="shared" si="55"/>
        <v>-2.77521918150124E-3</v>
      </c>
      <c r="E640" s="2">
        <f t="shared" ca="1" si="56"/>
        <v>0.42153702218565958</v>
      </c>
      <c r="F640">
        <f t="shared" ca="1" si="57"/>
        <v>0.41915417799124949</v>
      </c>
      <c r="G640" s="3">
        <f t="shared" ca="1" si="60"/>
        <v>1.8446284291032156</v>
      </c>
      <c r="H640">
        <f t="shared" ca="1" si="58"/>
        <v>0.22722959886020269</v>
      </c>
      <c r="I640">
        <f t="shared" ca="1" si="59"/>
        <v>1.7389890827326648</v>
      </c>
    </row>
    <row r="641" spans="1:9" x14ac:dyDescent="0.3">
      <c r="A641" s="1">
        <v>41107</v>
      </c>
      <c r="B641" t="s">
        <v>0</v>
      </c>
      <c r="C641">
        <v>287.28867000000002</v>
      </c>
      <c r="D641" s="2">
        <f t="shared" si="55"/>
        <v>3.1482323588387499E-3</v>
      </c>
      <c r="E641" s="2">
        <f t="shared" ca="1" si="56"/>
        <v>-2.1788378012369458</v>
      </c>
      <c r="F641">
        <f t="shared" ca="1" si="57"/>
        <v>-2.184603186957045</v>
      </c>
      <c r="G641" s="3">
        <f t="shared" ca="1" si="60"/>
        <v>1.8380025860733846</v>
      </c>
      <c r="H641">
        <f t="shared" ca="1" si="58"/>
        <v>-1.188574599138144</v>
      </c>
      <c r="I641">
        <f t="shared" ca="1" si="59"/>
        <v>-1.5628704852799031</v>
      </c>
    </row>
    <row r="642" spans="1:9" x14ac:dyDescent="0.3">
      <c r="A642" s="1">
        <v>41108</v>
      </c>
      <c r="B642" t="s">
        <v>0</v>
      </c>
      <c r="C642">
        <v>289.29615050000001</v>
      </c>
      <c r="D642" s="2">
        <f t="shared" si="55"/>
        <v>6.9876772376717307E-3</v>
      </c>
      <c r="E642" s="2">
        <f t="shared" ca="1" si="56"/>
        <v>-0.50735999072419569</v>
      </c>
      <c r="F642">
        <f t="shared" ca="1" si="57"/>
        <v>-0.50657056499270448</v>
      </c>
      <c r="G642" s="3">
        <f t="shared" ca="1" si="60"/>
        <v>1.8403647286330234</v>
      </c>
      <c r="H642">
        <f t="shared" ca="1" si="58"/>
        <v>-0.275255527945796</v>
      </c>
      <c r="I642">
        <f t="shared" ca="1" si="59"/>
        <v>1.3599930155433659</v>
      </c>
    </row>
    <row r="643" spans="1:9" x14ac:dyDescent="0.3">
      <c r="A643" s="1">
        <v>41109</v>
      </c>
      <c r="B643" t="s">
        <v>0</v>
      </c>
      <c r="C643">
        <v>295.42317489999999</v>
      </c>
      <c r="D643" s="2">
        <f t="shared" si="55"/>
        <v>2.1179073380030965E-2</v>
      </c>
      <c r="E643" s="2">
        <f t="shared" ca="1" si="56"/>
        <v>-0.5260434736080688</v>
      </c>
      <c r="F643">
        <f t="shared" ca="1" si="57"/>
        <v>-0.53008735136360474</v>
      </c>
      <c r="G643" s="3">
        <f t="shared" ca="1" si="60"/>
        <v>1.833947125551586</v>
      </c>
      <c r="H643">
        <f t="shared" ca="1" si="58"/>
        <v>-0.28904178532637537</v>
      </c>
      <c r="I643">
        <f t="shared" ca="1" si="59"/>
        <v>1.2678306276551421</v>
      </c>
    </row>
    <row r="644" spans="1:9" x14ac:dyDescent="0.3">
      <c r="A644" s="1">
        <v>41110</v>
      </c>
      <c r="B644" t="s">
        <v>0</v>
      </c>
      <c r="C644">
        <v>304.27005309999998</v>
      </c>
      <c r="D644" s="2">
        <f t="shared" ref="D644:D707" si="61">(C644-C643)/C643</f>
        <v>2.9946459694621581E-2</v>
      </c>
      <c r="E644" s="2">
        <f t="shared" ca="1" si="56"/>
        <v>-1.2310097709749575</v>
      </c>
      <c r="F644">
        <f t="shared" ca="1" si="57"/>
        <v>-1.2416758422605292</v>
      </c>
      <c r="G644" s="3">
        <f t="shared" ca="1" si="60"/>
        <v>1.8276567674556452</v>
      </c>
      <c r="H644">
        <f t="shared" ca="1" si="58"/>
        <v>-0.67938130636482486</v>
      </c>
      <c r="I644">
        <f t="shared" ca="1" si="59"/>
        <v>-0.4335055728662604</v>
      </c>
    </row>
    <row r="645" spans="1:9" x14ac:dyDescent="0.3">
      <c r="A645" s="1">
        <v>41113</v>
      </c>
      <c r="B645" t="s">
        <v>0</v>
      </c>
      <c r="C645">
        <v>306.60629979999999</v>
      </c>
      <c r="D645" s="2">
        <f t="shared" si="61"/>
        <v>7.6782012432626218E-3</v>
      </c>
      <c r="E645" s="2">
        <f t="shared" ca="1" si="56"/>
        <v>-1.1327783632755462</v>
      </c>
      <c r="F645">
        <f t="shared" ca="1" si="57"/>
        <v>-1.1548955016779312</v>
      </c>
      <c r="G645" s="3">
        <f t="shared" ca="1" si="60"/>
        <v>1.8239339157502221</v>
      </c>
      <c r="H645">
        <f t="shared" ca="1" si="58"/>
        <v>-0.63318933416669243</v>
      </c>
      <c r="I645">
        <f t="shared" ca="1" si="59"/>
        <v>-0.28806393143926123</v>
      </c>
    </row>
    <row r="646" spans="1:9" x14ac:dyDescent="0.3">
      <c r="A646" s="1">
        <v>41114</v>
      </c>
      <c r="B646" t="s">
        <v>0</v>
      </c>
      <c r="C646">
        <v>302.65112329999999</v>
      </c>
      <c r="D646" s="2">
        <f t="shared" si="61"/>
        <v>-1.2899853990540847E-2</v>
      </c>
      <c r="E646" s="2">
        <f t="shared" ref="E646:E709" ca="1" si="62">$N$9*D645+$N$10*D644+F646</f>
        <v>0.49557537295341536</v>
      </c>
      <c r="F646">
        <f t="shared" ref="F646:F709" ca="1" si="63">G646*H646</f>
        <v>0.47463843713700965</v>
      </c>
      <c r="G646" s="3">
        <f t="shared" ca="1" si="60"/>
        <v>1.819860171179523</v>
      </c>
      <c r="H646">
        <f t="shared" ref="H646:H709" ca="1" si="64">_xlfn.NORM.S.INV(RAND())</f>
        <v>0.2608103878823711</v>
      </c>
      <c r="I646">
        <f t="shared" ref="I646:I709" ca="1" si="65">-LN(F646^2)-(D646^2)/(F646^2)</f>
        <v>1.4896652409068614</v>
      </c>
    </row>
    <row r="647" spans="1:9" x14ac:dyDescent="0.3">
      <c r="A647" s="1">
        <v>41115</v>
      </c>
      <c r="B647" t="s">
        <v>0</v>
      </c>
      <c r="C647">
        <v>302.86032169999999</v>
      </c>
      <c r="D647" s="2">
        <f t="shared" si="61"/>
        <v>6.9121963837096099E-4</v>
      </c>
      <c r="E647" s="2">
        <f t="shared" ca="1" si="62"/>
        <v>-0.19695037935494017</v>
      </c>
      <c r="F647">
        <f t="shared" ca="1" si="63"/>
        <v>-0.19788527926524618</v>
      </c>
      <c r="G647" s="3">
        <f t="shared" ref="G647:G710" ca="1" si="66">SQRT($N$6+$N$7*(H646^2)+$N$8*(G646^2))</f>
        <v>1.8136350136437938</v>
      </c>
      <c r="H647">
        <f t="shared" ca="1" si="64"/>
        <v>-0.10910975900695297</v>
      </c>
      <c r="I647">
        <f t="shared" ca="1" si="65"/>
        <v>3.2401234264336551</v>
      </c>
    </row>
    <row r="648" spans="1:9" x14ac:dyDescent="0.3">
      <c r="A648" s="1">
        <v>41116</v>
      </c>
      <c r="B648" t="s">
        <v>0</v>
      </c>
      <c r="C648">
        <v>305.53531409999999</v>
      </c>
      <c r="D648" s="2">
        <f t="shared" si="61"/>
        <v>8.8324293687098987E-3</v>
      </c>
      <c r="E648" s="2">
        <f t="shared" ca="1" si="62"/>
        <v>-0.15735474924716739</v>
      </c>
      <c r="F648">
        <f t="shared" ca="1" si="63"/>
        <v>-0.14952815057428953</v>
      </c>
      <c r="G648" s="3">
        <f t="shared" ca="1" si="66"/>
        <v>1.8071108910821501</v>
      </c>
      <c r="H648">
        <f t="shared" ca="1" si="64"/>
        <v>-8.2744313761922914E-2</v>
      </c>
      <c r="I648">
        <f t="shared" ca="1" si="65"/>
        <v>3.7970521033618621</v>
      </c>
    </row>
    <row r="649" spans="1:9" x14ac:dyDescent="0.3">
      <c r="A649" s="1">
        <v>41117</v>
      </c>
      <c r="B649" t="s">
        <v>0</v>
      </c>
      <c r="C649">
        <v>316.29500669999999</v>
      </c>
      <c r="D649" s="2">
        <f t="shared" si="61"/>
        <v>3.5215872285317591E-2</v>
      </c>
      <c r="E649" s="2">
        <f t="shared" ca="1" si="62"/>
        <v>1.533423862938714</v>
      </c>
      <c r="F649">
        <f t="shared" ca="1" si="63"/>
        <v>1.5303599175585758</v>
      </c>
      <c r="G649" s="3">
        <f t="shared" ca="1" si="66"/>
        <v>1.8006296436300515</v>
      </c>
      <c r="H649">
        <f t="shared" ca="1" si="64"/>
        <v>0.84990265653595787</v>
      </c>
      <c r="I649">
        <f t="shared" ca="1" si="65"/>
        <v>-0.85153542493128287</v>
      </c>
    </row>
    <row r="650" spans="1:9" x14ac:dyDescent="0.3">
      <c r="A650" s="1">
        <v>41120</v>
      </c>
      <c r="B650" t="s">
        <v>0</v>
      </c>
      <c r="C650">
        <v>314.96996130000002</v>
      </c>
      <c r="D650" s="2">
        <f t="shared" si="61"/>
        <v>-4.1892706869594886E-3</v>
      </c>
      <c r="E650" s="2">
        <f t="shared" ca="1" si="62"/>
        <v>-4.2692117555833011</v>
      </c>
      <c r="F650">
        <f t="shared" ca="1" si="63"/>
        <v>-4.2852118362586058</v>
      </c>
      <c r="G650" s="3">
        <f t="shared" ca="1" si="66"/>
        <v>1.7990108880314946</v>
      </c>
      <c r="H650">
        <f t="shared" ca="1" si="64"/>
        <v>-2.3819821573995865</v>
      </c>
      <c r="I650">
        <f t="shared" ca="1" si="65"/>
        <v>-2.9103409307786383</v>
      </c>
    </row>
    <row r="651" spans="1:9" x14ac:dyDescent="0.3">
      <c r="A651" s="1">
        <v>41121</v>
      </c>
      <c r="B651" t="s">
        <v>0</v>
      </c>
      <c r="C651">
        <v>315.3037023</v>
      </c>
      <c r="D651" s="2">
        <f t="shared" si="61"/>
        <v>1.0595962822057691E-3</v>
      </c>
      <c r="E651" s="2">
        <f t="shared" ca="1" si="62"/>
        <v>2.7659084198682695</v>
      </c>
      <c r="F651">
        <f t="shared" ca="1" si="63"/>
        <v>2.7452287082291567</v>
      </c>
      <c r="G651" s="3">
        <f t="shared" ca="1" si="66"/>
        <v>1.8302246290548605</v>
      </c>
      <c r="H651">
        <f t="shared" ca="1" si="64"/>
        <v>1.499940862257334</v>
      </c>
      <c r="I651">
        <f t="shared" ca="1" si="65"/>
        <v>-2.019728928192567</v>
      </c>
    </row>
    <row r="652" spans="1:9" x14ac:dyDescent="0.3">
      <c r="A652" s="1">
        <v>41122</v>
      </c>
      <c r="B652" t="s">
        <v>0</v>
      </c>
      <c r="C652">
        <v>315.1592622</v>
      </c>
      <c r="D652" s="2">
        <f t="shared" si="61"/>
        <v>-4.5809833169217778E-4</v>
      </c>
      <c r="E652" s="2">
        <f t="shared" ca="1" si="62"/>
        <v>1.9661568272730892</v>
      </c>
      <c r="F652">
        <f t="shared" ca="1" si="63"/>
        <v>1.9684495373033812</v>
      </c>
      <c r="G652" s="3">
        <f t="shared" ca="1" si="66"/>
        <v>1.8381972056968374</v>
      </c>
      <c r="H652">
        <f t="shared" ca="1" si="64"/>
        <v>1.0708587365941331</v>
      </c>
      <c r="I652">
        <f t="shared" ca="1" si="65"/>
        <v>-1.3544924461026127</v>
      </c>
    </row>
    <row r="653" spans="1:9" x14ac:dyDescent="0.3">
      <c r="A653" s="1">
        <v>41123</v>
      </c>
      <c r="B653" t="s">
        <v>0</v>
      </c>
      <c r="C653">
        <v>313.20158709999998</v>
      </c>
      <c r="D653" s="2">
        <f t="shared" si="61"/>
        <v>-6.2117009867781615E-3</v>
      </c>
      <c r="E653" s="2">
        <f t="shared" ca="1" si="62"/>
        <v>-0.64552958369130986</v>
      </c>
      <c r="F653">
        <f t="shared" ca="1" si="63"/>
        <v>-0.64605280170625878</v>
      </c>
      <c r="G653" s="3">
        <f t="shared" ca="1" si="66"/>
        <v>1.8388185551755429</v>
      </c>
      <c r="H653">
        <f t="shared" ca="1" si="64"/>
        <v>-0.35134124565356223</v>
      </c>
      <c r="I653">
        <f t="shared" ca="1" si="65"/>
        <v>0.87365563895808573</v>
      </c>
    </row>
    <row r="654" spans="1:9" x14ac:dyDescent="0.3">
      <c r="A654" s="1">
        <v>41124</v>
      </c>
      <c r="B654" t="s">
        <v>0</v>
      </c>
      <c r="C654">
        <v>319.4681076</v>
      </c>
      <c r="D654" s="2">
        <f t="shared" si="61"/>
        <v>2.0007946185787426E-2</v>
      </c>
      <c r="E654" s="2">
        <f t="shared" ca="1" si="62"/>
        <v>0.70682310928760872</v>
      </c>
      <c r="F654">
        <f t="shared" ca="1" si="63"/>
        <v>0.70896048016732671</v>
      </c>
      <c r="G654" s="3">
        <f t="shared" ca="1" si="66"/>
        <v>1.8327319331119485</v>
      </c>
      <c r="H654">
        <f t="shared" ca="1" si="64"/>
        <v>0.38683261166488409</v>
      </c>
      <c r="I654">
        <f t="shared" ca="1" si="65"/>
        <v>0.6871145339993191</v>
      </c>
    </row>
    <row r="655" spans="1:9" x14ac:dyDescent="0.3">
      <c r="A655" s="1">
        <v>41127</v>
      </c>
      <c r="B655" t="s">
        <v>0</v>
      </c>
      <c r="C655">
        <v>320.21032709999997</v>
      </c>
      <c r="D655" s="2">
        <f t="shared" si="61"/>
        <v>2.3232976386152919E-3</v>
      </c>
      <c r="E655" s="2">
        <f t="shared" ca="1" si="62"/>
        <v>-1.1501308966783772</v>
      </c>
      <c r="F655">
        <f t="shared" ca="1" si="63"/>
        <v>-1.1522285690759102</v>
      </c>
      <c r="G655" s="3">
        <f t="shared" ca="1" si="66"/>
        <v>1.8268909029469289</v>
      </c>
      <c r="H655">
        <f t="shared" ca="1" si="64"/>
        <v>-0.63070463989790981</v>
      </c>
      <c r="I655">
        <f t="shared" ca="1" si="65"/>
        <v>-0.28339997217095514</v>
      </c>
    </row>
    <row r="656" spans="1:9" x14ac:dyDescent="0.3">
      <c r="A656" s="1">
        <v>41128</v>
      </c>
      <c r="B656" t="s">
        <v>0</v>
      </c>
      <c r="C656">
        <v>319.07458259999999</v>
      </c>
      <c r="D656" s="2">
        <f t="shared" si="61"/>
        <v>-3.5468703032969333E-3</v>
      </c>
      <c r="E656" s="2">
        <f t="shared" ca="1" si="62"/>
        <v>-3.8805642635002124</v>
      </c>
      <c r="F656">
        <f t="shared" ca="1" si="63"/>
        <v>-3.8937158725820691</v>
      </c>
      <c r="G656" s="3">
        <f t="shared" ca="1" si="66"/>
        <v>1.822757791473808</v>
      </c>
      <c r="H656">
        <f t="shared" ca="1" si="64"/>
        <v>-2.1361674550483025</v>
      </c>
      <c r="I656">
        <f t="shared" ca="1" si="65"/>
        <v>-2.7187287074769437</v>
      </c>
    </row>
    <row r="657" spans="1:9" x14ac:dyDescent="0.3">
      <c r="A657" s="1">
        <v>41129</v>
      </c>
      <c r="B657" t="s">
        <v>0</v>
      </c>
      <c r="C657">
        <v>319.91641170000003</v>
      </c>
      <c r="D657" s="2">
        <f t="shared" si="61"/>
        <v>2.6383458473575104E-3</v>
      </c>
      <c r="E657" s="2">
        <f t="shared" ca="1" si="62"/>
        <v>0.9424629592850774</v>
      </c>
      <c r="F657">
        <f t="shared" ca="1" si="63"/>
        <v>0.94207380366429927</v>
      </c>
      <c r="G657" s="3">
        <f t="shared" ca="1" si="66"/>
        <v>1.8460002464004346</v>
      </c>
      <c r="H657">
        <f t="shared" ca="1" si="64"/>
        <v>0.5103324365753874</v>
      </c>
      <c r="I657">
        <f t="shared" ca="1" si="65"/>
        <v>0.11933547606619904</v>
      </c>
    </row>
    <row r="658" spans="1:9" x14ac:dyDescent="0.3">
      <c r="A658" s="1">
        <v>41130</v>
      </c>
      <c r="B658" t="s">
        <v>0</v>
      </c>
      <c r="C658">
        <v>319.97619570000001</v>
      </c>
      <c r="D658" s="2">
        <f t="shared" si="61"/>
        <v>1.8687381395125589E-4</v>
      </c>
      <c r="E658" s="2">
        <f t="shared" ca="1" si="62"/>
        <v>-0.2868039637039419</v>
      </c>
      <c r="F658">
        <f t="shared" ca="1" si="63"/>
        <v>-0.28538200283079174</v>
      </c>
      <c r="G658" s="3">
        <f t="shared" ca="1" si="66"/>
        <v>1.8407221595653156</v>
      </c>
      <c r="H658">
        <f t="shared" ca="1" si="64"/>
        <v>-0.15503806554824351</v>
      </c>
      <c r="I658">
        <f t="shared" ca="1" si="65"/>
        <v>2.5078528419816304</v>
      </c>
    </row>
    <row r="659" spans="1:9" x14ac:dyDescent="0.3">
      <c r="A659" s="1">
        <v>41131</v>
      </c>
      <c r="B659" t="s">
        <v>0</v>
      </c>
      <c r="C659">
        <v>319.80184819999999</v>
      </c>
      <c r="D659" s="2">
        <f t="shared" si="61"/>
        <v>-5.4487647000926677E-4</v>
      </c>
      <c r="E659" s="2">
        <f t="shared" ca="1" si="62"/>
        <v>2.3437422388347926</v>
      </c>
      <c r="F659">
        <f t="shared" ca="1" si="63"/>
        <v>2.3420436302751551</v>
      </c>
      <c r="G659" s="3">
        <f t="shared" ca="1" si="66"/>
        <v>1.8339613596037572</v>
      </c>
      <c r="H659">
        <f t="shared" ca="1" si="64"/>
        <v>1.2770408809382841</v>
      </c>
      <c r="I659">
        <f t="shared" ca="1" si="65"/>
        <v>-1.7020478431182007</v>
      </c>
    </row>
    <row r="660" spans="1:9" x14ac:dyDescent="0.3">
      <c r="A660" s="1">
        <v>41134</v>
      </c>
      <c r="B660" t="s">
        <v>0</v>
      </c>
      <c r="C660">
        <v>328.77323819999998</v>
      </c>
      <c r="D660" s="2">
        <f t="shared" si="61"/>
        <v>2.8052964829613468E-2</v>
      </c>
      <c r="E660" s="2">
        <f t="shared" ca="1" si="62"/>
        <v>-0.84179838222625425</v>
      </c>
      <c r="F660">
        <f t="shared" ca="1" si="63"/>
        <v>-0.84175228460035978</v>
      </c>
      <c r="G660" s="3">
        <f t="shared" ca="1" si="66"/>
        <v>1.8378174596756631</v>
      </c>
      <c r="H660">
        <f t="shared" ca="1" si="64"/>
        <v>-0.45801735105341296</v>
      </c>
      <c r="I660">
        <f t="shared" ca="1" si="65"/>
        <v>0.34342833373654086</v>
      </c>
    </row>
    <row r="661" spans="1:9" x14ac:dyDescent="0.3">
      <c r="A661" s="1">
        <v>41135</v>
      </c>
      <c r="B661" t="s">
        <v>0</v>
      </c>
      <c r="C661">
        <v>333.08211399999999</v>
      </c>
      <c r="D661" s="2">
        <f t="shared" si="61"/>
        <v>1.3105920127777632E-2</v>
      </c>
      <c r="E661" s="2">
        <f t="shared" ca="1" si="62"/>
        <v>2.8713404726071223</v>
      </c>
      <c r="F661">
        <f t="shared" ca="1" si="63"/>
        <v>2.8633153407682395</v>
      </c>
      <c r="G661" s="3">
        <f t="shared" ca="1" si="66"/>
        <v>1.8323092773466991</v>
      </c>
      <c r="H661">
        <f t="shared" ca="1" si="64"/>
        <v>1.5626812439188775</v>
      </c>
      <c r="I661">
        <f t="shared" ca="1" si="65"/>
        <v>-2.1039812776608375</v>
      </c>
    </row>
    <row r="662" spans="1:9" x14ac:dyDescent="0.3">
      <c r="A662" s="1">
        <v>41136</v>
      </c>
      <c r="B662" t="s">
        <v>0</v>
      </c>
      <c r="C662">
        <v>332.52419070000002</v>
      </c>
      <c r="D662" s="2">
        <f t="shared" si="61"/>
        <v>-1.6750323014941906E-3</v>
      </c>
      <c r="E662" s="2">
        <f t="shared" ca="1" si="62"/>
        <v>-0.95441534011645923</v>
      </c>
      <c r="F662">
        <f t="shared" ca="1" si="63"/>
        <v>-0.97579156112572385</v>
      </c>
      <c r="G662" s="3">
        <f t="shared" ca="1" si="66"/>
        <v>1.8414956084356862</v>
      </c>
      <c r="H662">
        <f t="shared" ca="1" si="64"/>
        <v>-0.52989078912582332</v>
      </c>
      <c r="I662">
        <f t="shared" ca="1" si="65"/>
        <v>4.9009612919949555E-2</v>
      </c>
    </row>
    <row r="663" spans="1:9" x14ac:dyDescent="0.3">
      <c r="A663" s="1">
        <v>41137</v>
      </c>
      <c r="B663" t="s">
        <v>0</v>
      </c>
      <c r="C663">
        <v>335.17925539999999</v>
      </c>
      <c r="D663" s="2">
        <f t="shared" si="61"/>
        <v>7.9845760827528516E-3</v>
      </c>
      <c r="E663" s="2">
        <f t="shared" ca="1" si="62"/>
        <v>-0.17206539957576683</v>
      </c>
      <c r="F663">
        <f t="shared" ca="1" si="63"/>
        <v>-0.17972697601568424</v>
      </c>
      <c r="G663" s="3">
        <f t="shared" ca="1" si="66"/>
        <v>1.8364068735361734</v>
      </c>
      <c r="H663">
        <f t="shared" ca="1" si="64"/>
        <v>-9.7868821232194106E-2</v>
      </c>
      <c r="I663">
        <f t="shared" ca="1" si="65"/>
        <v>3.4306590769647087</v>
      </c>
    </row>
    <row r="664" spans="1:9" x14ac:dyDescent="0.3">
      <c r="A664" s="1">
        <v>41138</v>
      </c>
      <c r="B664" t="s">
        <v>0</v>
      </c>
      <c r="C664">
        <v>337.30627279999999</v>
      </c>
      <c r="D664" s="2">
        <f t="shared" si="61"/>
        <v>6.3459100339059941E-3</v>
      </c>
      <c r="E664" s="2">
        <f t="shared" ca="1" si="62"/>
        <v>-2.4975909942432151</v>
      </c>
      <c r="F664">
        <f t="shared" ca="1" si="63"/>
        <v>-2.4989286818059075</v>
      </c>
      <c r="G664" s="3">
        <f t="shared" ca="1" si="66"/>
        <v>1.8296014430540044</v>
      </c>
      <c r="H664">
        <f t="shared" ca="1" si="64"/>
        <v>-1.3658322643398497</v>
      </c>
      <c r="I664">
        <f t="shared" ca="1" si="65"/>
        <v>-1.8317306743225994</v>
      </c>
    </row>
    <row r="665" spans="1:9" x14ac:dyDescent="0.3">
      <c r="A665" s="1">
        <v>41141</v>
      </c>
      <c r="B665" t="s">
        <v>0</v>
      </c>
      <c r="C665">
        <v>336.50927460000003</v>
      </c>
      <c r="D665" s="2">
        <f t="shared" si="61"/>
        <v>-2.3628324293646571E-3</v>
      </c>
      <c r="E665" s="2">
        <f t="shared" ca="1" si="62"/>
        <v>1.2522665375745712</v>
      </c>
      <c r="F665">
        <f t="shared" ca="1" si="63"/>
        <v>1.2454024373542014</v>
      </c>
      <c r="G665" s="3">
        <f t="shared" ca="1" si="66"/>
        <v>1.8350708492133532</v>
      </c>
      <c r="H665">
        <f t="shared" ca="1" si="64"/>
        <v>0.6786672230601194</v>
      </c>
      <c r="I665">
        <f t="shared" ca="1" si="65"/>
        <v>-0.43892104061465398</v>
      </c>
    </row>
    <row r="666" spans="1:9" x14ac:dyDescent="0.3">
      <c r="A666" s="1">
        <v>41142</v>
      </c>
      <c r="B666" t="s">
        <v>0</v>
      </c>
      <c r="C666">
        <v>333.505516</v>
      </c>
      <c r="D666" s="2">
        <f t="shared" si="61"/>
        <v>-8.9262282698464018E-3</v>
      </c>
      <c r="E666" s="2">
        <f t="shared" ca="1" si="62"/>
        <v>-1.831363229874059</v>
      </c>
      <c r="F666">
        <f t="shared" ca="1" si="63"/>
        <v>-1.8346102921238798</v>
      </c>
      <c r="G666" s="3">
        <f t="shared" ca="1" si="66"/>
        <v>1.8312433601101976</v>
      </c>
      <c r="H666">
        <f t="shared" ca="1" si="64"/>
        <v>-1.0018386043532082</v>
      </c>
      <c r="I666">
        <f t="shared" ca="1" si="65"/>
        <v>-1.2136878409038621</v>
      </c>
    </row>
    <row r="667" spans="1:9" x14ac:dyDescent="0.3">
      <c r="A667" s="1">
        <v>41143</v>
      </c>
      <c r="B667" t="s">
        <v>0</v>
      </c>
      <c r="C667">
        <v>337.32620109999999</v>
      </c>
      <c r="D667" s="2">
        <f t="shared" si="61"/>
        <v>1.1456137655006556E-2</v>
      </c>
      <c r="E667" s="2">
        <f t="shared" ca="1" si="62"/>
        <v>-2.2722442717520006</v>
      </c>
      <c r="F667">
        <f t="shared" ca="1" si="63"/>
        <v>-2.268111451016376</v>
      </c>
      <c r="G667" s="3">
        <f t="shared" ca="1" si="66"/>
        <v>1.8310347726091281</v>
      </c>
      <c r="H667">
        <f t="shared" ca="1" si="64"/>
        <v>-1.2387047394978943</v>
      </c>
      <c r="I667">
        <f t="shared" ca="1" si="65"/>
        <v>-1.6379205628213629</v>
      </c>
    </row>
    <row r="668" spans="1:9" x14ac:dyDescent="0.3">
      <c r="A668" s="1">
        <v>41144</v>
      </c>
      <c r="B668" t="s">
        <v>0</v>
      </c>
      <c r="C668">
        <v>337.13690009999999</v>
      </c>
      <c r="D668" s="2">
        <f t="shared" si="61"/>
        <v>-5.6118083736958902E-4</v>
      </c>
      <c r="E668" s="2">
        <f t="shared" ca="1" si="62"/>
        <v>0.49239671598035245</v>
      </c>
      <c r="F668">
        <f t="shared" ca="1" si="63"/>
        <v>0.4945392245159948</v>
      </c>
      <c r="G668" s="3">
        <f t="shared" ca="1" si="66"/>
        <v>1.8343099029527277</v>
      </c>
      <c r="H668">
        <f t="shared" ca="1" si="64"/>
        <v>0.26960505622301034</v>
      </c>
      <c r="I668">
        <f t="shared" ca="1" si="65"/>
        <v>1.4082563313229997</v>
      </c>
    </row>
    <row r="669" spans="1:9" x14ac:dyDescent="0.3">
      <c r="A669" s="1">
        <v>41145</v>
      </c>
      <c r="B669" t="s">
        <v>0</v>
      </c>
      <c r="C669">
        <v>338.04849230000002</v>
      </c>
      <c r="D669" s="2">
        <f t="shared" si="61"/>
        <v>2.7039229456331756E-3</v>
      </c>
      <c r="E669" s="2">
        <f t="shared" ca="1" si="62"/>
        <v>-1.9456828836684201</v>
      </c>
      <c r="F669">
        <f t="shared" ca="1" si="63"/>
        <v>-1.9526492580231183</v>
      </c>
      <c r="G669" s="3">
        <f t="shared" ca="1" si="66"/>
        <v>1.8279438381138411</v>
      </c>
      <c r="H669">
        <f t="shared" ca="1" si="64"/>
        <v>-1.0682216911204199</v>
      </c>
      <c r="I669">
        <f t="shared" ca="1" si="65"/>
        <v>-1.3383760062811849</v>
      </c>
    </row>
    <row r="670" spans="1:9" x14ac:dyDescent="0.3">
      <c r="A670" s="1">
        <v>41148</v>
      </c>
      <c r="B670" t="s">
        <v>0</v>
      </c>
      <c r="C670">
        <v>333.36104549999999</v>
      </c>
      <c r="D670" s="2">
        <f t="shared" si="61"/>
        <v>-1.3866196438587197E-2</v>
      </c>
      <c r="E670" s="2">
        <f t="shared" ca="1" si="62"/>
        <v>-1.4288692437111086</v>
      </c>
      <c r="F670">
        <f t="shared" ca="1" si="63"/>
        <v>-1.4293260146331828</v>
      </c>
      <c r="G670" s="3">
        <f t="shared" ca="1" si="66"/>
        <v>1.8286887240335967</v>
      </c>
      <c r="H670">
        <f t="shared" ca="1" si="64"/>
        <v>-0.78161252696985684</v>
      </c>
      <c r="I670">
        <f t="shared" ca="1" si="65"/>
        <v>-0.714500142994142</v>
      </c>
    </row>
    <row r="671" spans="1:9" x14ac:dyDescent="0.3">
      <c r="A671" s="1">
        <v>41149</v>
      </c>
      <c r="B671" t="s">
        <v>0</v>
      </c>
      <c r="C671">
        <v>337.36108280000002</v>
      </c>
      <c r="D671" s="2">
        <f t="shared" si="61"/>
        <v>1.1999114335631129E-2</v>
      </c>
      <c r="E671" s="2">
        <f t="shared" ca="1" si="62"/>
        <v>1.8331645829685481</v>
      </c>
      <c r="F671">
        <f t="shared" ca="1" si="63"/>
        <v>1.8356152796494292</v>
      </c>
      <c r="G671" s="3">
        <f t="shared" ca="1" si="66"/>
        <v>1.8259355412607563</v>
      </c>
      <c r="H671">
        <f t="shared" ca="1" si="64"/>
        <v>1.0053012486859143</v>
      </c>
      <c r="I671">
        <f t="shared" ca="1" si="65"/>
        <v>-1.214802185345861</v>
      </c>
    </row>
    <row r="672" spans="1:9" x14ac:dyDescent="0.3">
      <c r="A672" s="1">
        <v>41150</v>
      </c>
      <c r="B672" t="s">
        <v>0</v>
      </c>
      <c r="C672">
        <v>342.72098560000001</v>
      </c>
      <c r="D672" s="2">
        <f t="shared" si="61"/>
        <v>1.5887732975938818E-2</v>
      </c>
      <c r="E672" s="2">
        <f t="shared" ca="1" si="62"/>
        <v>1.7979605638102087</v>
      </c>
      <c r="F672">
        <f t="shared" ca="1" si="63"/>
        <v>1.8030172773301363</v>
      </c>
      <c r="G672" s="3">
        <f t="shared" ca="1" si="66"/>
        <v>1.8258533632815457</v>
      </c>
      <c r="H672">
        <f t="shared" ca="1" si="64"/>
        <v>0.98749292445349124</v>
      </c>
      <c r="I672">
        <f t="shared" ca="1" si="65"/>
        <v>-1.1790007003361069</v>
      </c>
    </row>
    <row r="673" spans="1:9" x14ac:dyDescent="0.3">
      <c r="A673" s="1">
        <v>41151</v>
      </c>
      <c r="B673" t="s">
        <v>0</v>
      </c>
      <c r="C673">
        <v>339.5678125</v>
      </c>
      <c r="D673" s="2">
        <f t="shared" si="61"/>
        <v>-9.2004085903282466E-3</v>
      </c>
      <c r="E673" s="2">
        <f t="shared" ca="1" si="62"/>
        <v>-7.2989806902235166E-2</v>
      </c>
      <c r="F673">
        <f t="shared" ca="1" si="63"/>
        <v>-8.5198788676761422E-2</v>
      </c>
      <c r="G673" s="3">
        <f t="shared" ca="1" si="66"/>
        <v>1.8255388131491226</v>
      </c>
      <c r="H673">
        <f t="shared" ca="1" si="64"/>
        <v>-4.6670488769170751E-2</v>
      </c>
      <c r="I673">
        <f t="shared" ca="1" si="65"/>
        <v>4.9138748140084534</v>
      </c>
    </row>
    <row r="674" spans="1:9" x14ac:dyDescent="0.3">
      <c r="A674" s="1">
        <v>41152</v>
      </c>
      <c r="B674" t="s">
        <v>0</v>
      </c>
      <c r="C674">
        <v>341.26642370000002</v>
      </c>
      <c r="D674" s="2">
        <f t="shared" si="61"/>
        <v>5.0022738830701637E-3</v>
      </c>
      <c r="E674" s="2">
        <f t="shared" ca="1" si="62"/>
        <v>3.1920466884845973</v>
      </c>
      <c r="F674">
        <f t="shared" ca="1" si="63"/>
        <v>3.1848966935070124</v>
      </c>
      <c r="G674" s="3">
        <f t="shared" ca="1" si="66"/>
        <v>1.8188110733249447</v>
      </c>
      <c r="H674">
        <f t="shared" ca="1" si="64"/>
        <v>1.7510871471024996</v>
      </c>
      <c r="I674">
        <f t="shared" ca="1" si="65"/>
        <v>-2.3168421732154076</v>
      </c>
    </row>
    <row r="675" spans="1:9" x14ac:dyDescent="0.3">
      <c r="A675" s="1">
        <v>41156</v>
      </c>
      <c r="B675" t="s">
        <v>0</v>
      </c>
      <c r="C675">
        <v>339.24899499999998</v>
      </c>
      <c r="D675" s="2">
        <f t="shared" si="61"/>
        <v>-5.9115944607944122E-3</v>
      </c>
      <c r="E675" s="2">
        <f t="shared" ca="1" si="62"/>
        <v>1.0492355211253959</v>
      </c>
      <c r="F675">
        <f t="shared" ca="1" si="63"/>
        <v>1.0534730799760494</v>
      </c>
      <c r="G675" s="3">
        <f t="shared" ca="1" si="66"/>
        <v>1.8323708944413406</v>
      </c>
      <c r="H675">
        <f t="shared" ca="1" si="64"/>
        <v>0.57492349565901391</v>
      </c>
      <c r="I675">
        <f t="shared" ca="1" si="65"/>
        <v>-0.10421629124285083</v>
      </c>
    </row>
    <row r="676" spans="1:9" x14ac:dyDescent="0.3">
      <c r="A676" s="1">
        <v>41157</v>
      </c>
      <c r="B676" t="s">
        <v>0</v>
      </c>
      <c r="C676">
        <v>339.08960139999999</v>
      </c>
      <c r="D676" s="2">
        <f t="shared" si="61"/>
        <v>-4.6984251198735946E-4</v>
      </c>
      <c r="E676" s="2">
        <f t="shared" ca="1" si="62"/>
        <v>0.99826918480560256</v>
      </c>
      <c r="F676">
        <f t="shared" ca="1" si="63"/>
        <v>0.99691691854437525</v>
      </c>
      <c r="G676" s="3">
        <f t="shared" ca="1" si="66"/>
        <v>1.8277241617315876</v>
      </c>
      <c r="H676">
        <f t="shared" ca="1" si="64"/>
        <v>0.54544166971010288</v>
      </c>
      <c r="I676">
        <f t="shared" ca="1" si="65"/>
        <v>6.1754657655634128E-3</v>
      </c>
    </row>
    <row r="677" spans="1:9" x14ac:dyDescent="0.3">
      <c r="A677" s="1">
        <v>41158</v>
      </c>
      <c r="B677" t="s">
        <v>0</v>
      </c>
      <c r="C677">
        <v>348.39473199999998</v>
      </c>
      <c r="D677" s="2">
        <f t="shared" si="61"/>
        <v>2.7441509741324626E-2</v>
      </c>
      <c r="E677" s="2">
        <f t="shared" ca="1" si="62"/>
        <v>1.0831366779120908</v>
      </c>
      <c r="F677">
        <f t="shared" ca="1" si="63"/>
        <v>1.0869578990606199</v>
      </c>
      <c r="G677" s="3">
        <f t="shared" ca="1" si="66"/>
        <v>1.8229191341952009</v>
      </c>
      <c r="H677">
        <f t="shared" ca="1" si="64"/>
        <v>0.59627324035989127</v>
      </c>
      <c r="I677">
        <f t="shared" ca="1" si="65"/>
        <v>-0.1674031205898773</v>
      </c>
    </row>
    <row r="678" spans="1:9" x14ac:dyDescent="0.3">
      <c r="A678" s="1">
        <v>41159</v>
      </c>
      <c r="B678" t="s">
        <v>0</v>
      </c>
      <c r="C678">
        <v>351.75713389999999</v>
      </c>
      <c r="D678" s="2">
        <f t="shared" si="61"/>
        <v>9.6511272736466321E-3</v>
      </c>
      <c r="E678" s="2">
        <f t="shared" ca="1" si="62"/>
        <v>-2.2038200554045408</v>
      </c>
      <c r="F678">
        <f t="shared" ca="1" si="63"/>
        <v>-2.2117095958655182</v>
      </c>
      <c r="G678" s="3">
        <f t="shared" ca="1" si="66"/>
        <v>1.8185587387888378</v>
      </c>
      <c r="H678">
        <f t="shared" ca="1" si="64"/>
        <v>-1.2161881542184991</v>
      </c>
      <c r="I678">
        <f t="shared" ca="1" si="65"/>
        <v>-1.5875506199766165</v>
      </c>
    </row>
    <row r="679" spans="1:9" x14ac:dyDescent="0.3">
      <c r="A679" s="1">
        <v>41162</v>
      </c>
      <c r="B679" t="s">
        <v>0</v>
      </c>
      <c r="C679">
        <v>349.0771671</v>
      </c>
      <c r="D679" s="2">
        <f t="shared" si="61"/>
        <v>-7.6187987157123821E-3</v>
      </c>
      <c r="E679" s="2">
        <f t="shared" ca="1" si="62"/>
        <v>0.16652157863512337</v>
      </c>
      <c r="F679">
        <f t="shared" ca="1" si="63"/>
        <v>0.1465562085235288</v>
      </c>
      <c r="G679" s="3">
        <f t="shared" ca="1" si="66"/>
        <v>1.821682673525149</v>
      </c>
      <c r="H679">
        <f t="shared" ca="1" si="64"/>
        <v>8.0451008649012945E-2</v>
      </c>
      <c r="I679">
        <f t="shared" ca="1" si="65"/>
        <v>3.8379900034872105</v>
      </c>
    </row>
    <row r="680" spans="1:9" x14ac:dyDescent="0.3">
      <c r="A680" s="1">
        <v>41163</v>
      </c>
      <c r="B680" t="s">
        <v>0</v>
      </c>
      <c r="C680">
        <v>344.80317309999998</v>
      </c>
      <c r="D680" s="2">
        <f t="shared" si="61"/>
        <v>-1.2243693953135716E-2</v>
      </c>
      <c r="E680" s="2">
        <f t="shared" ca="1" si="62"/>
        <v>2.9251778791175664</v>
      </c>
      <c r="F680">
        <f t="shared" ca="1" si="63"/>
        <v>2.9214398165106727</v>
      </c>
      <c r="G680" s="3">
        <f t="shared" ca="1" si="66"/>
        <v>1.8150283052600371</v>
      </c>
      <c r="H680">
        <f t="shared" ca="1" si="64"/>
        <v>1.6095836125773924</v>
      </c>
      <c r="I680">
        <f t="shared" ca="1" si="65"/>
        <v>-2.1441707295048342</v>
      </c>
    </row>
    <row r="681" spans="1:9" x14ac:dyDescent="0.3">
      <c r="A681" s="1">
        <v>41164</v>
      </c>
      <c r="B681" t="s">
        <v>0</v>
      </c>
      <c r="C681">
        <v>344.15064489999997</v>
      </c>
      <c r="D681" s="2">
        <f t="shared" si="61"/>
        <v>-1.8924657628100179E-3</v>
      </c>
      <c r="E681" s="2">
        <f t="shared" ca="1" si="62"/>
        <v>-2.8955108827647025</v>
      </c>
      <c r="F681">
        <f t="shared" ca="1" si="63"/>
        <v>-2.8871160355622854</v>
      </c>
      <c r="G681" s="3">
        <f t="shared" ca="1" si="66"/>
        <v>1.8255455318454004</v>
      </c>
      <c r="H681">
        <f t="shared" ca="1" si="64"/>
        <v>-1.5815086423200679</v>
      </c>
      <c r="I681">
        <f t="shared" ca="1" si="65"/>
        <v>-2.1205166142805303</v>
      </c>
    </row>
    <row r="682" spans="1:9" x14ac:dyDescent="0.3">
      <c r="A682" s="1">
        <v>41165</v>
      </c>
      <c r="B682" t="s">
        <v>0</v>
      </c>
      <c r="C682">
        <v>351.70232429999999</v>
      </c>
      <c r="D682" s="2">
        <f t="shared" si="61"/>
        <v>2.1942947113158272E-2</v>
      </c>
      <c r="E682" s="2">
        <f t="shared" ca="1" si="62"/>
        <v>-1.9296361386154945</v>
      </c>
      <c r="F682">
        <f t="shared" ca="1" si="63"/>
        <v>-1.9214477629351694</v>
      </c>
      <c r="G682" s="3">
        <f t="shared" ca="1" si="66"/>
        <v>1.8352564994060108</v>
      </c>
      <c r="H682">
        <f t="shared" ca="1" si="64"/>
        <v>-1.0469641510911716</v>
      </c>
      <c r="I682">
        <f t="shared" ca="1" si="65"/>
        <v>-1.3062883067370827</v>
      </c>
    </row>
    <row r="683" spans="1:9" x14ac:dyDescent="0.3">
      <c r="A683" s="1">
        <v>41166</v>
      </c>
      <c r="B683" t="s">
        <v>0</v>
      </c>
      <c r="C683">
        <v>353.51555990000003</v>
      </c>
      <c r="D683" s="2">
        <f t="shared" si="61"/>
        <v>5.1555974320299409E-3</v>
      </c>
      <c r="E683" s="2">
        <f t="shared" ca="1" si="62"/>
        <v>0.7165146892375891</v>
      </c>
      <c r="F683">
        <f t="shared" ca="1" si="63"/>
        <v>0.71115049292545762</v>
      </c>
      <c r="G683" s="3">
        <f t="shared" ca="1" si="66"/>
        <v>1.8355925161995978</v>
      </c>
      <c r="H683">
        <f t="shared" ca="1" si="64"/>
        <v>0.38742285482718153</v>
      </c>
      <c r="I683">
        <f t="shared" ca="1" si="65"/>
        <v>0.68168985812285643</v>
      </c>
    </row>
    <row r="684" spans="1:9" x14ac:dyDescent="0.3">
      <c r="A684" s="1">
        <v>41169</v>
      </c>
      <c r="B684" t="s">
        <v>0</v>
      </c>
      <c r="C684">
        <v>353.66497390000001</v>
      </c>
      <c r="D684" s="2">
        <f t="shared" si="61"/>
        <v>4.2265183473746959E-4</v>
      </c>
      <c r="E684" s="2">
        <f t="shared" ca="1" si="62"/>
        <v>2.4004393085891533</v>
      </c>
      <c r="F684">
        <f t="shared" ca="1" si="63"/>
        <v>2.3852382869040536</v>
      </c>
      <c r="G684" s="3">
        <f t="shared" ca="1" si="66"/>
        <v>1.829719783365261</v>
      </c>
      <c r="H684">
        <f t="shared" ca="1" si="64"/>
        <v>1.3036085134943836</v>
      </c>
      <c r="I684">
        <f t="shared" ca="1" si="65"/>
        <v>-1.7385980914003243</v>
      </c>
    </row>
    <row r="685" spans="1:9" x14ac:dyDescent="0.3">
      <c r="A685" s="1">
        <v>41170</v>
      </c>
      <c r="B685" t="s">
        <v>0</v>
      </c>
      <c r="C685">
        <v>357.79950259999998</v>
      </c>
      <c r="D685" s="2">
        <f t="shared" si="61"/>
        <v>1.1690523532502904E-2</v>
      </c>
      <c r="E685" s="2">
        <f t="shared" ca="1" si="62"/>
        <v>1.5546814914200793</v>
      </c>
      <c r="F685">
        <f t="shared" ca="1" si="63"/>
        <v>1.5513450977539143</v>
      </c>
      <c r="G685" s="3">
        <f t="shared" ca="1" si="66"/>
        <v>1.8340989120543509</v>
      </c>
      <c r="H685">
        <f t="shared" ca="1" si="64"/>
        <v>0.84583502424974033</v>
      </c>
      <c r="I685">
        <f t="shared" ca="1" si="65"/>
        <v>-0.8783015064996309</v>
      </c>
    </row>
    <row r="686" spans="1:9" x14ac:dyDescent="0.3">
      <c r="A686" s="1">
        <v>41171</v>
      </c>
      <c r="B686" t="s">
        <v>0</v>
      </c>
      <c r="C686">
        <v>362.39228379999997</v>
      </c>
      <c r="D686" s="2">
        <f t="shared" si="61"/>
        <v>1.2836186653770912E-2</v>
      </c>
      <c r="E686" s="2">
        <f t="shared" ca="1" si="62"/>
        <v>-1.16233731830871</v>
      </c>
      <c r="F686">
        <f t="shared" ca="1" si="63"/>
        <v>-1.1660862123099216</v>
      </c>
      <c r="G686" s="3">
        <f t="shared" ca="1" si="66"/>
        <v>1.8319569759962744</v>
      </c>
      <c r="H686">
        <f t="shared" ca="1" si="64"/>
        <v>-0.6365248898248651</v>
      </c>
      <c r="I686">
        <f t="shared" ca="1" si="65"/>
        <v>-0.30742722178019471</v>
      </c>
    </row>
    <row r="687" spans="1:9" x14ac:dyDescent="0.3">
      <c r="A687" s="1">
        <v>41172</v>
      </c>
      <c r="B687" t="s">
        <v>0</v>
      </c>
      <c r="C687">
        <v>362.70112260000002</v>
      </c>
      <c r="D687" s="2">
        <f t="shared" si="61"/>
        <v>8.5222233972975781E-4</v>
      </c>
      <c r="E687" s="2">
        <f t="shared" ca="1" si="62"/>
        <v>-1.9266012433642055</v>
      </c>
      <c r="F687">
        <f t="shared" ca="1" si="63"/>
        <v>-1.9377082010111428</v>
      </c>
      <c r="G687" s="3">
        <f t="shared" ca="1" si="66"/>
        <v>1.8278063028375817</v>
      </c>
      <c r="H687">
        <f t="shared" ca="1" si="64"/>
        <v>-1.0601277597100653</v>
      </c>
      <c r="I687">
        <f t="shared" ca="1" si="65"/>
        <v>-1.3230120635493368</v>
      </c>
    </row>
    <row r="688" spans="1:9" x14ac:dyDescent="0.3">
      <c r="A688" s="1">
        <v>41173</v>
      </c>
      <c r="B688" t="s">
        <v>0</v>
      </c>
      <c r="C688">
        <v>365.62516909999999</v>
      </c>
      <c r="D688" s="2">
        <f t="shared" si="61"/>
        <v>8.0618622821984464E-3</v>
      </c>
      <c r="E688" s="2">
        <f t="shared" ca="1" si="62"/>
        <v>3.8075384708889097</v>
      </c>
      <c r="F688">
        <f t="shared" ca="1" si="63"/>
        <v>3.7992913165990125</v>
      </c>
      <c r="G688" s="3">
        <f t="shared" ca="1" si="66"/>
        <v>1.82844011677888</v>
      </c>
      <c r="H688">
        <f t="shared" ca="1" si="64"/>
        <v>2.0778866541673429</v>
      </c>
      <c r="I688">
        <f t="shared" ca="1" si="65"/>
        <v>-2.6696336100387921</v>
      </c>
    </row>
    <row r="689" spans="1:9" x14ac:dyDescent="0.3">
      <c r="A689" s="1">
        <v>41176</v>
      </c>
      <c r="B689" t="s">
        <v>0</v>
      </c>
      <c r="C689">
        <v>373.29144200000002</v>
      </c>
      <c r="D689" s="2">
        <f t="shared" si="61"/>
        <v>2.0967574302586556E-2</v>
      </c>
      <c r="E689" s="2">
        <f t="shared" ca="1" si="62"/>
        <v>-1.412034341532173</v>
      </c>
      <c r="F689">
        <f t="shared" ca="1" si="63"/>
        <v>-1.4149687862879399</v>
      </c>
      <c r="G689" s="3">
        <f t="shared" ca="1" si="66"/>
        <v>1.8499306897902679</v>
      </c>
      <c r="H689">
        <f t="shared" ca="1" si="64"/>
        <v>-0.76487664867506955</v>
      </c>
      <c r="I689">
        <f t="shared" ca="1" si="65"/>
        <v>-0.6944345283790061</v>
      </c>
    </row>
    <row r="690" spans="1:9" x14ac:dyDescent="0.3">
      <c r="A690" s="1">
        <v>41177</v>
      </c>
      <c r="B690" t="s">
        <v>0</v>
      </c>
      <c r="C690">
        <v>373.1818533</v>
      </c>
      <c r="D690" s="2">
        <f t="shared" si="61"/>
        <v>-2.9357410234981363E-4</v>
      </c>
      <c r="E690" s="2">
        <f t="shared" ca="1" si="62"/>
        <v>-1.6489411094205675</v>
      </c>
      <c r="F690">
        <f t="shared" ca="1" si="63"/>
        <v>-1.6602130104704933</v>
      </c>
      <c r="G690" s="3">
        <f t="shared" ca="1" si="66"/>
        <v>1.8467173635701564</v>
      </c>
      <c r="H690">
        <f t="shared" ca="1" si="64"/>
        <v>-0.89900763550568208</v>
      </c>
      <c r="I690">
        <f t="shared" ca="1" si="65"/>
        <v>-1.0138918586620369</v>
      </c>
    </row>
    <row r="691" spans="1:9" x14ac:dyDescent="0.3">
      <c r="A691" s="1">
        <v>41178</v>
      </c>
      <c r="B691" t="s">
        <v>0</v>
      </c>
      <c r="C691">
        <v>375.32385499999998</v>
      </c>
      <c r="D691" s="2">
        <f t="shared" si="61"/>
        <v>5.739833491523046E-3</v>
      </c>
      <c r="E691" s="2">
        <f t="shared" ca="1" si="62"/>
        <v>-6.7537191094835552E-2</v>
      </c>
      <c r="F691">
        <f t="shared" ca="1" si="63"/>
        <v>-8.0506096720522072E-2</v>
      </c>
      <c r="G691" s="3">
        <f t="shared" ca="1" si="66"/>
        <v>1.8450020706133794</v>
      </c>
      <c r="H691">
        <f t="shared" ca="1" si="64"/>
        <v>-4.3634691799428416E-2</v>
      </c>
      <c r="I691">
        <f t="shared" ca="1" si="65"/>
        <v>5.0337614784811793</v>
      </c>
    </row>
    <row r="692" spans="1:9" x14ac:dyDescent="0.3">
      <c r="A692" s="1">
        <v>41179</v>
      </c>
      <c r="B692" t="s">
        <v>0</v>
      </c>
      <c r="C692">
        <v>376.83817049999999</v>
      </c>
      <c r="D692" s="2">
        <f t="shared" si="61"/>
        <v>4.0346902543671502E-3</v>
      </c>
      <c r="E692" s="2">
        <f t="shared" ca="1" si="62"/>
        <v>-1.7074407762860977</v>
      </c>
      <c r="F692">
        <f t="shared" ca="1" si="63"/>
        <v>-1.7089693886437682</v>
      </c>
      <c r="G692" s="3">
        <f t="shared" ca="1" si="66"/>
        <v>1.8380467027738268</v>
      </c>
      <c r="H692">
        <f t="shared" ca="1" si="64"/>
        <v>-0.9297747364442559</v>
      </c>
      <c r="I692">
        <f t="shared" ca="1" si="65"/>
        <v>-1.0717865580464838</v>
      </c>
    </row>
    <row r="693" spans="1:9" x14ac:dyDescent="0.3">
      <c r="A693" s="1">
        <v>41180</v>
      </c>
      <c r="B693" t="s">
        <v>0</v>
      </c>
      <c r="C693">
        <v>375.84189179999998</v>
      </c>
      <c r="D693" s="2">
        <f t="shared" si="61"/>
        <v>-2.6437839316492619E-3</v>
      </c>
      <c r="E693" s="2">
        <f t="shared" ca="1" si="62"/>
        <v>-0.28342544298315525</v>
      </c>
      <c r="F693">
        <f t="shared" ca="1" si="63"/>
        <v>-0.2882026235409571</v>
      </c>
      <c r="G693" s="3">
        <f t="shared" ca="1" si="66"/>
        <v>1.8368244877862157</v>
      </c>
      <c r="H693">
        <f t="shared" ca="1" si="64"/>
        <v>-0.15690264663680836</v>
      </c>
      <c r="I693">
        <f t="shared" ca="1" si="65"/>
        <v>2.488098834149834</v>
      </c>
    </row>
    <row r="694" spans="1:9" x14ac:dyDescent="0.3">
      <c r="A694" s="1">
        <v>41183</v>
      </c>
      <c r="B694" t="s">
        <v>0</v>
      </c>
      <c r="C694">
        <v>379.46830210000002</v>
      </c>
      <c r="D694" s="2">
        <f t="shared" si="61"/>
        <v>9.6487655557294418E-3</v>
      </c>
      <c r="E694" s="2">
        <f t="shared" ca="1" si="62"/>
        <v>-1.700837996454089</v>
      </c>
      <c r="F694">
        <f t="shared" ca="1" si="63"/>
        <v>-1.70256209975105</v>
      </c>
      <c r="G694" s="3">
        <f t="shared" ca="1" si="66"/>
        <v>1.8301129760396235</v>
      </c>
      <c r="H694">
        <f t="shared" ca="1" si="64"/>
        <v>-0.93030437029926183</v>
      </c>
      <c r="I694">
        <f t="shared" ca="1" si="65"/>
        <v>-1.0643005851953005</v>
      </c>
    </row>
    <row r="695" spans="1:9" x14ac:dyDescent="0.3">
      <c r="A695" s="1">
        <v>41184</v>
      </c>
      <c r="B695" t="s">
        <v>0</v>
      </c>
      <c r="C695">
        <v>377.08225069999997</v>
      </c>
      <c r="D695" s="2">
        <f t="shared" si="61"/>
        <v>-6.2878806656458328E-3</v>
      </c>
      <c r="E695" s="2">
        <f t="shared" ca="1" si="62"/>
        <v>1.625799068849942</v>
      </c>
      <c r="F695">
        <f t="shared" ca="1" si="63"/>
        <v>1.6245684159408655</v>
      </c>
      <c r="G695" s="3">
        <f t="shared" ca="1" si="66"/>
        <v>1.8290135579110398</v>
      </c>
      <c r="H695">
        <f t="shared" ca="1" si="64"/>
        <v>0.88822108994988758</v>
      </c>
      <c r="I695">
        <f t="shared" ca="1" si="65"/>
        <v>-0.97049936134827286</v>
      </c>
    </row>
    <row r="696" spans="1:9" x14ac:dyDescent="0.3">
      <c r="A696" s="1">
        <v>41185</v>
      </c>
      <c r="B696" t="s">
        <v>0</v>
      </c>
      <c r="C696">
        <v>379.82697569999999</v>
      </c>
      <c r="D696" s="2">
        <f t="shared" si="61"/>
        <v>7.278849627381883E-3</v>
      </c>
      <c r="E696" s="2">
        <f t="shared" ca="1" si="62"/>
        <v>0.1353350758411733</v>
      </c>
      <c r="F696">
        <f t="shared" ca="1" si="63"/>
        <v>0.13120165010148097</v>
      </c>
      <c r="G696" s="3">
        <f t="shared" ca="1" si="66"/>
        <v>1.827427053392723</v>
      </c>
      <c r="H696">
        <f t="shared" ca="1" si="64"/>
        <v>7.1795834398914904E-2</v>
      </c>
      <c r="I696">
        <f t="shared" ca="1" si="65"/>
        <v>4.0589618050134728</v>
      </c>
    </row>
    <row r="697" spans="1:9" x14ac:dyDescent="0.3">
      <c r="A697" s="1">
        <v>41186</v>
      </c>
      <c r="B697" t="s">
        <v>0</v>
      </c>
      <c r="C697">
        <v>382.59159829999999</v>
      </c>
      <c r="D697" s="2">
        <f t="shared" si="61"/>
        <v>7.2786367921997899E-3</v>
      </c>
      <c r="E697" s="2">
        <f t="shared" ca="1" si="62"/>
        <v>-3.9141374089193133</v>
      </c>
      <c r="F697">
        <f t="shared" ca="1" si="63"/>
        <v>-3.9123922677991225</v>
      </c>
      <c r="G697" s="3">
        <f t="shared" ca="1" si="66"/>
        <v>1.8206969813109819</v>
      </c>
      <c r="H697">
        <f t="shared" ca="1" si="64"/>
        <v>-2.1488431671820689</v>
      </c>
      <c r="I697">
        <f t="shared" ca="1" si="65"/>
        <v>-2.7283015013100096</v>
      </c>
    </row>
    <row r="698" spans="1:9" x14ac:dyDescent="0.3">
      <c r="A698" s="1">
        <v>41187</v>
      </c>
      <c r="B698" t="s">
        <v>0</v>
      </c>
      <c r="C698">
        <v>382.39234859999999</v>
      </c>
      <c r="D698" s="2">
        <f t="shared" si="61"/>
        <v>-5.2078953350083478E-4</v>
      </c>
      <c r="E698" s="2">
        <f t="shared" ca="1" si="62"/>
        <v>1.5426031849878006</v>
      </c>
      <c r="F698">
        <f t="shared" ca="1" si="63"/>
        <v>1.53590043141587</v>
      </c>
      <c r="G698" s="3">
        <f t="shared" ca="1" si="66"/>
        <v>1.8443505128488211</v>
      </c>
      <c r="H698">
        <f t="shared" ca="1" si="64"/>
        <v>0.83275951112106505</v>
      </c>
      <c r="I698">
        <f t="shared" ca="1" si="65"/>
        <v>-0.85823373362846367</v>
      </c>
    </row>
    <row r="699" spans="1:9" x14ac:dyDescent="0.3">
      <c r="A699" s="1">
        <v>41190</v>
      </c>
      <c r="B699" t="s">
        <v>0</v>
      </c>
      <c r="C699">
        <v>377.50565210000002</v>
      </c>
      <c r="D699" s="2">
        <f t="shared" si="61"/>
        <v>-1.2779273743031089E-2</v>
      </c>
      <c r="E699" s="2">
        <f t="shared" ca="1" si="62"/>
        <v>-3.4433931786271479E-2</v>
      </c>
      <c r="F699">
        <f t="shared" ca="1" si="63"/>
        <v>-3.8811033439923953E-2</v>
      </c>
      <c r="G699" s="3">
        <f t="shared" ca="1" si="66"/>
        <v>1.841920817159012</v>
      </c>
      <c r="H699">
        <f t="shared" ca="1" si="64"/>
        <v>-2.1070956513639001E-2</v>
      </c>
      <c r="I699">
        <f t="shared" ca="1" si="65"/>
        <v>6.3896832765463136</v>
      </c>
    </row>
    <row r="700" spans="1:9" x14ac:dyDescent="0.3">
      <c r="A700" s="1">
        <v>41191</v>
      </c>
      <c r="B700" t="s">
        <v>0</v>
      </c>
      <c r="C700">
        <v>370.65633609999998</v>
      </c>
      <c r="D700" s="2">
        <f t="shared" si="61"/>
        <v>-1.8143611789382383E-2</v>
      </c>
      <c r="E700" s="2">
        <f t="shared" ca="1" si="62"/>
        <v>-3.8142315653207276E-2</v>
      </c>
      <c r="F700">
        <f t="shared" ca="1" si="63"/>
        <v>-3.4007683944873489E-2</v>
      </c>
      <c r="G700" s="3">
        <f t="shared" ca="1" si="66"/>
        <v>1.8349915291001733</v>
      </c>
      <c r="H700">
        <f t="shared" ca="1" si="64"/>
        <v>-1.8532883343363372E-2</v>
      </c>
      <c r="I700">
        <f t="shared" ca="1" si="65"/>
        <v>6.4776992359805314</v>
      </c>
    </row>
    <row r="701" spans="1:9" x14ac:dyDescent="0.3">
      <c r="A701" s="1">
        <v>41192</v>
      </c>
      <c r="B701" t="s">
        <v>0</v>
      </c>
      <c r="C701">
        <v>370.89043709999999</v>
      </c>
      <c r="D701" s="2">
        <f t="shared" si="61"/>
        <v>6.3158504846616505E-4</v>
      </c>
      <c r="E701" s="2">
        <f t="shared" ca="1" si="62"/>
        <v>1.3742380301958466</v>
      </c>
      <c r="F701">
        <f t="shared" ca="1" si="63"/>
        <v>1.3876054397573088</v>
      </c>
      <c r="G701" s="3">
        <f t="shared" ca="1" si="66"/>
        <v>1.8281418449566169</v>
      </c>
      <c r="H701">
        <f t="shared" ca="1" si="64"/>
        <v>0.75902504151161077</v>
      </c>
      <c r="I701">
        <f t="shared" ca="1" si="65"/>
        <v>-0.65515931991038268</v>
      </c>
    </row>
    <row r="702" spans="1:9" x14ac:dyDescent="0.3">
      <c r="A702" s="1">
        <v>41193</v>
      </c>
      <c r="B702" t="s">
        <v>0</v>
      </c>
      <c r="C702">
        <v>374.33752559999999</v>
      </c>
      <c r="D702" s="2">
        <f t="shared" si="61"/>
        <v>9.2940883754050463E-3</v>
      </c>
      <c r="E702" s="2">
        <f t="shared" ca="1" si="62"/>
        <v>-2.6622557012694315</v>
      </c>
      <c r="F702">
        <f t="shared" ca="1" si="63"/>
        <v>-2.6511460509578422</v>
      </c>
      <c r="G702" s="3">
        <f t="shared" ca="1" si="66"/>
        <v>1.8251670767901624</v>
      </c>
      <c r="H702">
        <f t="shared" ca="1" si="64"/>
        <v>-1.4525497882748855</v>
      </c>
      <c r="I702">
        <f t="shared" ca="1" si="65"/>
        <v>-1.9499963269788965</v>
      </c>
    </row>
    <row r="703" spans="1:9" x14ac:dyDescent="0.3">
      <c r="A703" s="1">
        <v>41194</v>
      </c>
      <c r="B703" t="s">
        <v>0</v>
      </c>
      <c r="C703">
        <v>370.98510279999999</v>
      </c>
      <c r="D703" s="2">
        <f t="shared" si="61"/>
        <v>-8.9556151086552984E-3</v>
      </c>
      <c r="E703" s="2">
        <f t="shared" ca="1" si="62"/>
        <v>1.771600086630557</v>
      </c>
      <c r="F703">
        <f t="shared" ca="1" si="63"/>
        <v>1.7684356247515023</v>
      </c>
      <c r="G703" s="3">
        <f t="shared" ca="1" si="66"/>
        <v>1.8323211888082582</v>
      </c>
      <c r="H703">
        <f t="shared" ca="1" si="64"/>
        <v>0.96513407995990752</v>
      </c>
      <c r="I703">
        <f t="shared" ca="1" si="65"/>
        <v>-1.1402163014797442</v>
      </c>
    </row>
    <row r="704" spans="1:9" x14ac:dyDescent="0.3">
      <c r="A704" s="1">
        <v>41197</v>
      </c>
      <c r="B704" t="s">
        <v>0</v>
      </c>
      <c r="C704">
        <v>369.10713929999997</v>
      </c>
      <c r="D704" s="2">
        <f t="shared" si="61"/>
        <v>-5.0620994908586424E-3</v>
      </c>
      <c r="E704" s="2">
        <f t="shared" ca="1" si="62"/>
        <v>8.5675009555851375E-3</v>
      </c>
      <c r="F704">
        <f t="shared" ca="1" si="63"/>
        <v>5.4503577403299548E-3</v>
      </c>
      <c r="G704" s="3">
        <f t="shared" ca="1" si="66"/>
        <v>1.8316225774405277</v>
      </c>
      <c r="H704">
        <f t="shared" ca="1" si="64"/>
        <v>2.975699146461808E-3</v>
      </c>
      <c r="I704">
        <f t="shared" ca="1" si="65"/>
        <v>9.5615443258579624</v>
      </c>
    </row>
    <row r="705" spans="1:9" x14ac:dyDescent="0.3">
      <c r="A705" s="1">
        <v>41198</v>
      </c>
      <c r="B705" t="s">
        <v>0</v>
      </c>
      <c r="C705">
        <v>370.96020010000001</v>
      </c>
      <c r="D705" s="2">
        <f t="shared" si="61"/>
        <v>5.0203873149522607E-3</v>
      </c>
      <c r="E705" s="2">
        <f t="shared" ca="1" si="62"/>
        <v>1.0065742170985714</v>
      </c>
      <c r="F705">
        <f t="shared" ca="1" si="63"/>
        <v>1.0136601921775577</v>
      </c>
      <c r="G705" s="3">
        <f t="shared" ca="1" si="66"/>
        <v>1.8248097858198211</v>
      </c>
      <c r="H705">
        <f t="shared" ca="1" si="64"/>
        <v>0.55548813912248762</v>
      </c>
      <c r="I705">
        <f t="shared" ca="1" si="65"/>
        <v>-2.7159995173311208E-2</v>
      </c>
    </row>
    <row r="706" spans="1:9" x14ac:dyDescent="0.3">
      <c r="A706" s="1">
        <v>41199</v>
      </c>
      <c r="B706" t="s">
        <v>0</v>
      </c>
      <c r="C706">
        <v>376.33505680000002</v>
      </c>
      <c r="D706" s="2">
        <f t="shared" si="61"/>
        <v>1.4489038712376976E-2</v>
      </c>
      <c r="E706" s="2">
        <f t="shared" ca="1" si="62"/>
        <v>-1.3805663339954848</v>
      </c>
      <c r="F706">
        <f t="shared" ca="1" si="63"/>
        <v>-1.3789110873545793</v>
      </c>
      <c r="G706" s="3">
        <f t="shared" ca="1" si="66"/>
        <v>1.8201148054194534</v>
      </c>
      <c r="H706">
        <f t="shared" ca="1" si="64"/>
        <v>-0.75759566553100111</v>
      </c>
      <c r="I706">
        <f t="shared" ca="1" si="65"/>
        <v>-0.64269865065937215</v>
      </c>
    </row>
    <row r="707" spans="1:9" x14ac:dyDescent="0.3">
      <c r="A707" s="1">
        <v>41200</v>
      </c>
      <c r="B707" t="s">
        <v>0</v>
      </c>
      <c r="C707">
        <v>346.20295579999998</v>
      </c>
      <c r="D707" s="2">
        <f t="shared" si="61"/>
        <v>-8.006721791005901E-2</v>
      </c>
      <c r="E707" s="2">
        <f t="shared" ca="1" si="62"/>
        <v>-2.4720364453777219</v>
      </c>
      <c r="F707">
        <f t="shared" ca="1" si="63"/>
        <v>-2.4794827545909355</v>
      </c>
      <c r="G707" s="3">
        <f t="shared" ca="1" si="66"/>
        <v>1.817235739281627</v>
      </c>
      <c r="H707">
        <f t="shared" ca="1" si="64"/>
        <v>-1.3644254848141508</v>
      </c>
      <c r="I707">
        <f t="shared" ca="1" si="65"/>
        <v>-1.8171427104867062</v>
      </c>
    </row>
    <row r="708" spans="1:9" x14ac:dyDescent="0.3">
      <c r="A708" s="1">
        <v>41201</v>
      </c>
      <c r="B708" t="s">
        <v>0</v>
      </c>
      <c r="C708">
        <v>339.62259160000002</v>
      </c>
      <c r="D708" s="2">
        <f t="shared" ref="D708:D771" si="67">(C708-C707)/C707</f>
        <v>-1.900724442052832E-2</v>
      </c>
      <c r="E708" s="2">
        <f t="shared" ca="1" si="62"/>
        <v>-1.6791383951249395</v>
      </c>
      <c r="F708">
        <f t="shared" ca="1" si="63"/>
        <v>-1.6642873943816399</v>
      </c>
      <c r="G708" s="3">
        <f t="shared" ca="1" si="66"/>
        <v>1.8229060258659253</v>
      </c>
      <c r="H708">
        <f t="shared" ca="1" si="64"/>
        <v>-0.91298584280616568</v>
      </c>
      <c r="I708">
        <f t="shared" ca="1" si="65"/>
        <v>-1.0189245121656871</v>
      </c>
    </row>
    <row r="709" spans="1:9" x14ac:dyDescent="0.3">
      <c r="A709" s="1">
        <v>41204</v>
      </c>
      <c r="B709" t="s">
        <v>0</v>
      </c>
      <c r="C709">
        <v>338.06842010000003</v>
      </c>
      <c r="D709" s="2">
        <f t="shared" si="67"/>
        <v>-4.5761723113828196E-3</v>
      </c>
      <c r="E709" s="2">
        <f t="shared" ca="1" si="62"/>
        <v>-0.64579980840844275</v>
      </c>
      <c r="F709">
        <f t="shared" ca="1" si="63"/>
        <v>-0.59027491281439959</v>
      </c>
      <c r="G709" s="3">
        <f t="shared" ca="1" si="66"/>
        <v>1.8217021161138309</v>
      </c>
      <c r="H709">
        <f t="shared" ca="1" si="64"/>
        <v>-0.32402383880061081</v>
      </c>
      <c r="I709">
        <f t="shared" ca="1" si="65"/>
        <v>1.0542736903737397</v>
      </c>
    </row>
    <row r="710" spans="1:9" x14ac:dyDescent="0.3">
      <c r="A710" s="1">
        <v>41205</v>
      </c>
      <c r="B710" t="s">
        <v>0</v>
      </c>
      <c r="C710">
        <v>338.90527479999997</v>
      </c>
      <c r="D710" s="2">
        <f t="shared" si="67"/>
        <v>2.4754003930695643E-3</v>
      </c>
      <c r="E710" s="2">
        <f t="shared" ref="E710:E773" ca="1" si="68">$N$9*D709+$N$10*D708+F710</f>
        <v>-0.40749453115285367</v>
      </c>
      <c r="F710">
        <f t="shared" ref="F710:F773" ca="1" si="69">G710*H710</f>
        <v>-0.39429432638628775</v>
      </c>
      <c r="G710" s="3">
        <f t="shared" ca="1" si="66"/>
        <v>1.8156997596720841</v>
      </c>
      <c r="H710">
        <f t="shared" ref="H710:H773" ca="1" si="70">_xlfn.NORM.S.INV(RAND())</f>
        <v>-0.2171583293360668</v>
      </c>
      <c r="I710">
        <f t="shared" ref="I710:I773" ca="1" si="71">-LN(F710^2)-(D710^2)/(F710^2)</f>
        <v>1.861275840621085</v>
      </c>
    </row>
    <row r="711" spans="1:9" x14ac:dyDescent="0.3">
      <c r="A711" s="1">
        <v>41206</v>
      </c>
      <c r="B711" t="s">
        <v>0</v>
      </c>
      <c r="C711">
        <v>337.38598500000001</v>
      </c>
      <c r="D711" s="2">
        <f t="shared" si="67"/>
        <v>-4.4829334712968225E-3</v>
      </c>
      <c r="E711" s="2">
        <f t="shared" ca="1" si="68"/>
        <v>-0.59309580992604505</v>
      </c>
      <c r="F711">
        <f t="shared" ca="1" si="69"/>
        <v>-0.59098432138834656</v>
      </c>
      <c r="G711" s="3">
        <f t="shared" ref="G711:G774" ca="1" si="72">SQRT($N$6+$N$7*(H710^2)+$N$8*(G710^2))</f>
        <v>1.8093855988875471</v>
      </c>
      <c r="H711">
        <f t="shared" ca="1" si="70"/>
        <v>-0.32662154587264186</v>
      </c>
      <c r="I711">
        <f t="shared" ca="1" si="71"/>
        <v>1.0518740413908558</v>
      </c>
    </row>
    <row r="712" spans="1:9" x14ac:dyDescent="0.3">
      <c r="A712" s="1">
        <v>41207</v>
      </c>
      <c r="B712" t="s">
        <v>0</v>
      </c>
      <c r="C712">
        <v>337.6151112</v>
      </c>
      <c r="D712" s="2">
        <f t="shared" si="67"/>
        <v>6.7912186690266953E-4</v>
      </c>
      <c r="E712" s="2">
        <f t="shared" ca="1" si="68"/>
        <v>-2.3412740160105683</v>
      </c>
      <c r="F712">
        <f t="shared" ca="1" si="69"/>
        <v>-2.3414787838273798</v>
      </c>
      <c r="G712" s="3">
        <f t="shared" ca="1" si="72"/>
        <v>1.8035430606947007</v>
      </c>
      <c r="H712">
        <f t="shared" ca="1" si="70"/>
        <v>-1.2982660823886696</v>
      </c>
      <c r="I712">
        <f t="shared" ca="1" si="71"/>
        <v>-1.7015654614595688</v>
      </c>
    </row>
    <row r="713" spans="1:9" x14ac:dyDescent="0.3">
      <c r="A713" s="1">
        <v>41208</v>
      </c>
      <c r="B713" t="s">
        <v>0</v>
      </c>
      <c r="C713">
        <v>336.31499930000001</v>
      </c>
      <c r="D713" s="2">
        <f t="shared" si="67"/>
        <v>-3.8508699903240301E-3</v>
      </c>
      <c r="E713" s="2">
        <f t="shared" ca="1" si="68"/>
        <v>6.6588652842296074</v>
      </c>
      <c r="F713">
        <f t="shared" ca="1" si="69"/>
        <v>6.6614543014276082</v>
      </c>
      <c r="G713" s="3">
        <f t="shared" ca="1" si="72"/>
        <v>1.8082952481048762</v>
      </c>
      <c r="H713">
        <f t="shared" ca="1" si="70"/>
        <v>3.6838311157477874</v>
      </c>
      <c r="I713">
        <f t="shared" ca="1" si="71"/>
        <v>-3.79267598276367</v>
      </c>
    </row>
    <row r="714" spans="1:9" x14ac:dyDescent="0.3">
      <c r="A714" s="1">
        <v>41213</v>
      </c>
      <c r="B714" t="s">
        <v>0</v>
      </c>
      <c r="C714">
        <v>338.88037220000001</v>
      </c>
      <c r="D714" s="2">
        <f t="shared" si="67"/>
        <v>7.6278872644381631E-3</v>
      </c>
      <c r="E714" s="2">
        <f t="shared" ca="1" si="68"/>
        <v>0.22430930267563565</v>
      </c>
      <c r="F714">
        <f t="shared" ca="1" si="69"/>
        <v>0.22503461207897327</v>
      </c>
      <c r="G714" s="3">
        <f t="shared" ca="1" si="72"/>
        <v>1.8901104080825428</v>
      </c>
      <c r="H714">
        <f t="shared" ca="1" si="70"/>
        <v>0.11905897725163249</v>
      </c>
      <c r="I714">
        <f t="shared" ca="1" si="71"/>
        <v>2.981853141117909</v>
      </c>
    </row>
    <row r="715" spans="1:9" x14ac:dyDescent="0.3">
      <c r="A715" s="1">
        <v>41214</v>
      </c>
      <c r="B715" t="s">
        <v>0</v>
      </c>
      <c r="C715">
        <v>342.5117568</v>
      </c>
      <c r="D715" s="2">
        <f t="shared" si="67"/>
        <v>1.0715830416571969E-2</v>
      </c>
      <c r="E715" s="2">
        <f t="shared" ca="1" si="68"/>
        <v>-1.7646967364252459</v>
      </c>
      <c r="F715">
        <f t="shared" ca="1" si="69"/>
        <v>-1.7645731847656916</v>
      </c>
      <c r="G715" s="3">
        <f t="shared" ca="1" si="72"/>
        <v>1.8827160404422314</v>
      </c>
      <c r="H715">
        <f t="shared" ca="1" si="70"/>
        <v>-0.9372487124246367</v>
      </c>
      <c r="I715">
        <f t="shared" ca="1" si="71"/>
        <v>-1.1358545573790255</v>
      </c>
    </row>
    <row r="716" spans="1:9" x14ac:dyDescent="0.3">
      <c r="A716" s="1">
        <v>41215</v>
      </c>
      <c r="B716" t="s">
        <v>0</v>
      </c>
      <c r="C716">
        <v>342.67615510000002</v>
      </c>
      <c r="D716" s="2">
        <f t="shared" si="67"/>
        <v>4.7997856054912566E-4</v>
      </c>
      <c r="E716" s="2">
        <f t="shared" ca="1" si="68"/>
        <v>2.3349343167439294</v>
      </c>
      <c r="F716">
        <f t="shared" ca="1" si="69"/>
        <v>2.3269893662367278</v>
      </c>
      <c r="G716" s="3">
        <f t="shared" ca="1" si="72"/>
        <v>1.8809366870005029</v>
      </c>
      <c r="H716">
        <f t="shared" ca="1" si="70"/>
        <v>1.2371439093718446</v>
      </c>
      <c r="I716">
        <f t="shared" ca="1" si="71"/>
        <v>-1.6891506717037066</v>
      </c>
    </row>
    <row r="717" spans="1:9" x14ac:dyDescent="0.3">
      <c r="A717" s="1">
        <v>41218</v>
      </c>
      <c r="B717" t="s">
        <v>0</v>
      </c>
      <c r="C717">
        <v>340.20541759999998</v>
      </c>
      <c r="D717" s="2">
        <f t="shared" si="67"/>
        <v>-7.2101237953922665E-3</v>
      </c>
      <c r="E717" s="2">
        <f t="shared" ca="1" si="68"/>
        <v>-2.0025523676555301</v>
      </c>
      <c r="F717">
        <f t="shared" ca="1" si="69"/>
        <v>-2.009368192888136</v>
      </c>
      <c r="G717" s="3">
        <f t="shared" ca="1" si="72"/>
        <v>1.8833487962055946</v>
      </c>
      <c r="H717">
        <f t="shared" ca="1" si="70"/>
        <v>-1.0669124046148191</v>
      </c>
      <c r="I717">
        <f t="shared" ca="1" si="71"/>
        <v>-1.3956535570918003</v>
      </c>
    </row>
    <row r="718" spans="1:9" x14ac:dyDescent="0.3">
      <c r="A718" s="1">
        <v>41219</v>
      </c>
      <c r="B718" t="s">
        <v>0</v>
      </c>
      <c r="C718">
        <v>339.58774030000001</v>
      </c>
      <c r="D718" s="2">
        <f t="shared" si="67"/>
        <v>-1.8156010105818154E-3</v>
      </c>
      <c r="E718" s="2">
        <f t="shared" ca="1" si="68"/>
        <v>-5.6847562538572021</v>
      </c>
      <c r="F718">
        <f t="shared" ca="1" si="69"/>
        <v>-5.6829053251838877</v>
      </c>
      <c r="G718" s="3">
        <f t="shared" ca="1" si="72"/>
        <v>1.8832195414466761</v>
      </c>
      <c r="H718">
        <f t="shared" ca="1" si="70"/>
        <v>-3.0176541821663125</v>
      </c>
      <c r="I718">
        <f t="shared" ca="1" si="71"/>
        <v>-3.4749253078178723</v>
      </c>
    </row>
    <row r="719" spans="1:9" x14ac:dyDescent="0.3">
      <c r="A719" s="1">
        <v>41220</v>
      </c>
      <c r="B719" t="s">
        <v>0</v>
      </c>
      <c r="C719">
        <v>332.31496190000001</v>
      </c>
      <c r="D719" s="2">
        <f t="shared" si="67"/>
        <v>-2.1416492814419756E-2</v>
      </c>
      <c r="E719" s="2">
        <f t="shared" ca="1" si="68"/>
        <v>0.36045409983901561</v>
      </c>
      <c r="F719">
        <f t="shared" ca="1" si="69"/>
        <v>0.36548516959170085</v>
      </c>
      <c r="G719" s="3">
        <f t="shared" ca="1" si="72"/>
        <v>1.933277681056129</v>
      </c>
      <c r="H719">
        <f t="shared" ca="1" si="70"/>
        <v>0.18904949515169503</v>
      </c>
      <c r="I719">
        <f t="shared" ca="1" si="71"/>
        <v>2.0096254933972313</v>
      </c>
    </row>
    <row r="720" spans="1:9" x14ac:dyDescent="0.3">
      <c r="A720" s="1">
        <v>41221</v>
      </c>
      <c r="B720" t="s">
        <v>0</v>
      </c>
      <c r="C720">
        <v>324.9276509</v>
      </c>
      <c r="D720" s="2">
        <f t="shared" si="67"/>
        <v>-2.222984772567356E-2</v>
      </c>
      <c r="E720" s="2">
        <f t="shared" ca="1" si="68"/>
        <v>-0.65502650944211493</v>
      </c>
      <c r="F720">
        <f t="shared" ca="1" si="69"/>
        <v>-0.64751028267321475</v>
      </c>
      <c r="G720" s="3">
        <f t="shared" ca="1" si="72"/>
        <v>1.925528548564919</v>
      </c>
      <c r="H720">
        <f t="shared" ca="1" si="70"/>
        <v>-0.33627664630358195</v>
      </c>
      <c r="I720">
        <f t="shared" ca="1" si="71"/>
        <v>0.86806257409394061</v>
      </c>
    </row>
    <row r="721" spans="1:9" x14ac:dyDescent="0.3">
      <c r="A721" s="1">
        <v>41222</v>
      </c>
      <c r="B721" t="s">
        <v>0</v>
      </c>
      <c r="C721">
        <v>330.27760499999999</v>
      </c>
      <c r="D721" s="2">
        <f t="shared" si="67"/>
        <v>1.6465062561408467E-2</v>
      </c>
      <c r="E721" s="2">
        <f t="shared" ca="1" si="68"/>
        <v>1.5031653070573177</v>
      </c>
      <c r="F721">
        <f t="shared" ca="1" si="69"/>
        <v>1.5231294587501221</v>
      </c>
      <c r="G721" s="3">
        <f t="shared" ca="1" si="72"/>
        <v>1.9183518970740026</v>
      </c>
      <c r="H721">
        <f t="shared" ca="1" si="70"/>
        <v>0.79397813356001057</v>
      </c>
      <c r="I721">
        <f t="shared" ca="1" si="71"/>
        <v>-0.84165100209570376</v>
      </c>
    </row>
    <row r="722" spans="1:9" x14ac:dyDescent="0.3">
      <c r="A722" s="1">
        <v>41225</v>
      </c>
      <c r="B722" t="s">
        <v>0</v>
      </c>
      <c r="C722">
        <v>331.7072642</v>
      </c>
      <c r="D722" s="2">
        <f t="shared" si="67"/>
        <v>4.3286592198705188E-3</v>
      </c>
      <c r="E722" s="2">
        <f t="shared" ca="1" si="68"/>
        <v>-2.6152368083652591</v>
      </c>
      <c r="F722">
        <f t="shared" ca="1" si="69"/>
        <v>-2.6063036682283029</v>
      </c>
      <c r="G722" s="3">
        <f t="shared" ca="1" si="72"/>
        <v>1.9145089162718327</v>
      </c>
      <c r="H722">
        <f t="shared" ca="1" si="70"/>
        <v>-1.3613431862744301</v>
      </c>
      <c r="I722">
        <f t="shared" ca="1" si="71"/>
        <v>-1.9158687553547973</v>
      </c>
    </row>
    <row r="723" spans="1:9" x14ac:dyDescent="0.3">
      <c r="A723" s="1">
        <v>41226</v>
      </c>
      <c r="B723" t="s">
        <v>0</v>
      </c>
      <c r="C723">
        <v>328.29502710000003</v>
      </c>
      <c r="D723" s="2">
        <f t="shared" si="67"/>
        <v>-1.0286892897053325E-2</v>
      </c>
      <c r="E723" s="2">
        <f t="shared" ca="1" si="68"/>
        <v>-7.9809415285380172E-2</v>
      </c>
      <c r="F723">
        <f t="shared" ca="1" si="69"/>
        <v>-9.1352811953313948E-2</v>
      </c>
      <c r="G723" s="3">
        <f t="shared" ca="1" si="72"/>
        <v>1.9183935561159078</v>
      </c>
      <c r="H723">
        <f t="shared" ca="1" si="70"/>
        <v>-4.7619432239061635E-2</v>
      </c>
      <c r="I723">
        <f t="shared" ca="1" si="71"/>
        <v>4.7733722728864638</v>
      </c>
    </row>
    <row r="724" spans="1:9" x14ac:dyDescent="0.3">
      <c r="A724" s="1">
        <v>41227</v>
      </c>
      <c r="B724" t="s">
        <v>0</v>
      </c>
      <c r="C724">
        <v>325.05716740000003</v>
      </c>
      <c r="D724" s="2">
        <f t="shared" si="67"/>
        <v>-9.8626522874918111E-3</v>
      </c>
      <c r="E724" s="2">
        <f t="shared" ca="1" si="68"/>
        <v>-2.7885597502316326</v>
      </c>
      <c r="F724">
        <f t="shared" ca="1" si="69"/>
        <v>-2.7881879960807292</v>
      </c>
      <c r="G724" s="3">
        <f t="shared" ca="1" si="72"/>
        <v>1.9106028529186732</v>
      </c>
      <c r="H724">
        <f t="shared" ca="1" si="70"/>
        <v>-1.4593236850983657</v>
      </c>
      <c r="I724">
        <f t="shared" ca="1" si="71"/>
        <v>-2.0507963546182655</v>
      </c>
    </row>
    <row r="725" spans="1:9" x14ac:dyDescent="0.3">
      <c r="A725" s="1">
        <v>41228</v>
      </c>
      <c r="B725" t="s">
        <v>0</v>
      </c>
      <c r="C725">
        <v>322.42203110000003</v>
      </c>
      <c r="D725" s="2">
        <f t="shared" si="67"/>
        <v>-8.1066857287823615E-3</v>
      </c>
      <c r="E725" s="2">
        <f t="shared" ca="1" si="68"/>
        <v>-1.8610104749176812</v>
      </c>
      <c r="F725">
        <f t="shared" ca="1" si="69"/>
        <v>-1.8516641586165856</v>
      </c>
      <c r="G725" s="3">
        <f t="shared" ca="1" si="72"/>
        <v>1.9162891904786568</v>
      </c>
      <c r="H725">
        <f t="shared" ca="1" si="70"/>
        <v>-0.96627595031941449</v>
      </c>
      <c r="I725">
        <f t="shared" ca="1" si="71"/>
        <v>-1.2321887272372236</v>
      </c>
    </row>
    <row r="726" spans="1:9" x14ac:dyDescent="0.3">
      <c r="A726" s="1">
        <v>41229</v>
      </c>
      <c r="B726" t="s">
        <v>0</v>
      </c>
      <c r="C726">
        <v>322.38217500000002</v>
      </c>
      <c r="D726" s="2">
        <f t="shared" si="67"/>
        <v>-1.2361469178775547E-4</v>
      </c>
      <c r="E726" s="2">
        <f t="shared" ca="1" si="68"/>
        <v>-0.59539818054116511</v>
      </c>
      <c r="F726">
        <f t="shared" ca="1" si="69"/>
        <v>-0.58683960600926388</v>
      </c>
      <c r="G726" s="3">
        <f t="shared" ca="1" si="72"/>
        <v>1.9143786814210773</v>
      </c>
      <c r="H726">
        <f t="shared" ca="1" si="70"/>
        <v>-0.30654311589682059</v>
      </c>
      <c r="I726">
        <f t="shared" ca="1" si="71"/>
        <v>1.0660074358041347</v>
      </c>
    </row>
    <row r="727" spans="1:9" x14ac:dyDescent="0.3">
      <c r="A727" s="1">
        <v>41232</v>
      </c>
      <c r="B727" t="s">
        <v>0</v>
      </c>
      <c r="C727">
        <v>332.85793180000002</v>
      </c>
      <c r="D727" s="2">
        <f t="shared" si="67"/>
        <v>3.2494838773266539E-2</v>
      </c>
      <c r="E727" s="2">
        <f t="shared" ca="1" si="68"/>
        <v>1.3189048468509108</v>
      </c>
      <c r="F727">
        <f t="shared" ca="1" si="69"/>
        <v>1.3239897109126486</v>
      </c>
      <c r="G727" s="3">
        <f t="shared" ca="1" si="72"/>
        <v>1.9072112185418015</v>
      </c>
      <c r="H727">
        <f t="shared" ca="1" si="70"/>
        <v>0.69420193109231643</v>
      </c>
      <c r="I727">
        <f t="shared" ca="1" si="71"/>
        <v>-0.56190173729610748</v>
      </c>
    </row>
    <row r="728" spans="1:9" x14ac:dyDescent="0.3">
      <c r="A728" s="1">
        <v>41233</v>
      </c>
      <c r="B728" t="s">
        <v>0</v>
      </c>
      <c r="C728">
        <v>333.73464209999997</v>
      </c>
      <c r="D728" s="2">
        <f t="shared" si="67"/>
        <v>2.6338873622718233E-3</v>
      </c>
      <c r="E728" s="2">
        <f t="shared" ca="1" si="68"/>
        <v>-1.7786860758707301</v>
      </c>
      <c r="F728">
        <f t="shared" ca="1" si="69"/>
        <v>-1.7882979393291025</v>
      </c>
      <c r="G728" s="3">
        <f t="shared" ca="1" si="72"/>
        <v>1.9025791454326053</v>
      </c>
      <c r="H728">
        <f t="shared" ca="1" si="70"/>
        <v>-0.93993353370983279</v>
      </c>
      <c r="I728">
        <f t="shared" ca="1" si="71"/>
        <v>-1.1625307604832233</v>
      </c>
    </row>
    <row r="729" spans="1:9" x14ac:dyDescent="0.3">
      <c r="A729" s="1">
        <v>41234</v>
      </c>
      <c r="B729" t="s">
        <v>0</v>
      </c>
      <c r="C729">
        <v>331.69231079999997</v>
      </c>
      <c r="D729" s="2">
        <f t="shared" si="67"/>
        <v>-6.1196263209260674E-3</v>
      </c>
      <c r="E729" s="2">
        <f t="shared" ca="1" si="68"/>
        <v>0.39195494715806606</v>
      </c>
      <c r="F729">
        <f t="shared" ca="1" si="69"/>
        <v>0.37093518417551535</v>
      </c>
      <c r="G729" s="3">
        <f t="shared" ca="1" si="72"/>
        <v>1.9005478861641187</v>
      </c>
      <c r="H729">
        <f t="shared" ca="1" si="70"/>
        <v>0.19517276406235409</v>
      </c>
      <c r="I729">
        <f t="shared" ca="1" si="71"/>
        <v>1.9831836962698095</v>
      </c>
    </row>
    <row r="730" spans="1:9" x14ac:dyDescent="0.3">
      <c r="A730" s="1">
        <v>41236</v>
      </c>
      <c r="B730" t="s">
        <v>0</v>
      </c>
      <c r="C730">
        <v>332.73839379999998</v>
      </c>
      <c r="D730" s="2">
        <f t="shared" si="67"/>
        <v>3.1537752487448079E-3</v>
      </c>
      <c r="E730" s="2">
        <f t="shared" ca="1" si="68"/>
        <v>-3.4397197925632224</v>
      </c>
      <c r="F730">
        <f t="shared" ca="1" si="69"/>
        <v>-3.4395352444478164</v>
      </c>
      <c r="G730" s="3">
        <f t="shared" ca="1" si="72"/>
        <v>1.8931863795412582</v>
      </c>
      <c r="H730">
        <f t="shared" ca="1" si="70"/>
        <v>-1.8167969522796044</v>
      </c>
      <c r="I730">
        <f t="shared" ca="1" si="71"/>
        <v>-2.470673558540136</v>
      </c>
    </row>
    <row r="731" spans="1:9" x14ac:dyDescent="0.3">
      <c r="A731" s="1">
        <v>41239</v>
      </c>
      <c r="B731" t="s">
        <v>0</v>
      </c>
      <c r="C731">
        <v>329.3411102</v>
      </c>
      <c r="D731" s="2">
        <f t="shared" si="67"/>
        <v>-1.0210073929857325E-2</v>
      </c>
      <c r="E731" s="2">
        <f t="shared" ca="1" si="68"/>
        <v>-2.4996031616100747</v>
      </c>
      <c r="F731">
        <f t="shared" ca="1" si="69"/>
        <v>-2.4967328372952702</v>
      </c>
      <c r="G731" s="3">
        <f t="shared" ca="1" si="72"/>
        <v>1.9065882892529014</v>
      </c>
      <c r="H731">
        <f t="shared" ca="1" si="70"/>
        <v>-1.3095290951743008</v>
      </c>
      <c r="I731">
        <f t="shared" ca="1" si="71"/>
        <v>-1.8299827471770669</v>
      </c>
    </row>
    <row r="732" spans="1:9" x14ac:dyDescent="0.3">
      <c r="A732" s="1">
        <v>41240</v>
      </c>
      <c r="B732" t="s">
        <v>0</v>
      </c>
      <c r="C732">
        <v>334.1032644</v>
      </c>
      <c r="D732" s="2">
        <f t="shared" si="67"/>
        <v>1.4459640939171152E-2</v>
      </c>
      <c r="E732" s="2">
        <f t="shared" ca="1" si="68"/>
        <v>1.5509428230441611</v>
      </c>
      <c r="F732">
        <f t="shared" ca="1" si="69"/>
        <v>1.5520232688028819</v>
      </c>
      <c r="G732" s="3">
        <f t="shared" ca="1" si="72"/>
        <v>1.9097393954419011</v>
      </c>
      <c r="H732">
        <f t="shared" ca="1" si="70"/>
        <v>0.81268851263538711</v>
      </c>
      <c r="I732">
        <f t="shared" ca="1" si="71"/>
        <v>-0.87920562863534502</v>
      </c>
    </row>
    <row r="733" spans="1:9" x14ac:dyDescent="0.3">
      <c r="A733" s="1">
        <v>41241</v>
      </c>
      <c r="B733" t="s">
        <v>0</v>
      </c>
      <c r="C733">
        <v>340.55908590000001</v>
      </c>
      <c r="D733" s="2">
        <f t="shared" si="67"/>
        <v>1.932283275230403E-2</v>
      </c>
      <c r="E733" s="2">
        <f t="shared" ca="1" si="68"/>
        <v>-3.7476373547623667</v>
      </c>
      <c r="F733">
        <f t="shared" ca="1" si="69"/>
        <v>-3.7455909406538082</v>
      </c>
      <c r="G733" s="3">
        <f t="shared" ca="1" si="72"/>
        <v>1.9062008152123062</v>
      </c>
      <c r="H733">
        <f t="shared" ca="1" si="70"/>
        <v>-1.9649508649678322</v>
      </c>
      <c r="I733">
        <f t="shared" ca="1" si="71"/>
        <v>-2.6411854116089404</v>
      </c>
    </row>
    <row r="734" spans="1:9" x14ac:dyDescent="0.3">
      <c r="A734" s="1">
        <v>41242</v>
      </c>
      <c r="B734" t="s">
        <v>0</v>
      </c>
      <c r="C734">
        <v>344.6537586</v>
      </c>
      <c r="D734" s="2">
        <f t="shared" si="67"/>
        <v>1.2023384104344019E-2</v>
      </c>
      <c r="E734" s="2">
        <f t="shared" ca="1" si="68"/>
        <v>-2.1571123177292626</v>
      </c>
      <c r="F734">
        <f t="shared" ca="1" si="69"/>
        <v>-2.1718776893326308</v>
      </c>
      <c r="G734" s="3">
        <f t="shared" ca="1" si="72"/>
        <v>1.9228201710584725</v>
      </c>
      <c r="H734">
        <f t="shared" ca="1" si="70"/>
        <v>-1.1295272028153613</v>
      </c>
      <c r="I734">
        <f t="shared" ca="1" si="71"/>
        <v>-1.5512148226775349</v>
      </c>
    </row>
    <row r="735" spans="1:9" x14ac:dyDescent="0.3">
      <c r="A735" s="1">
        <v>41243</v>
      </c>
      <c r="B735" t="s">
        <v>0</v>
      </c>
      <c r="C735">
        <v>347.8816392</v>
      </c>
      <c r="D735" s="2">
        <f t="shared" si="67"/>
        <v>9.3655749268825514E-3</v>
      </c>
      <c r="E735" s="2">
        <f t="shared" ca="1" si="68"/>
        <v>-1.2322797083592771</v>
      </c>
      <c r="F735">
        <f t="shared" ca="1" si="69"/>
        <v>-1.2478969301230636</v>
      </c>
      <c r="G735" s="3">
        <f t="shared" ca="1" si="72"/>
        <v>1.9229559805664032</v>
      </c>
      <c r="H735">
        <f t="shared" ca="1" si="70"/>
        <v>-0.64894721602285343</v>
      </c>
      <c r="I735">
        <f t="shared" ca="1" si="71"/>
        <v>-0.44297568331814358</v>
      </c>
    </row>
    <row r="736" spans="1:9" x14ac:dyDescent="0.3">
      <c r="A736" s="1">
        <v>41246</v>
      </c>
      <c r="B736" t="s">
        <v>0</v>
      </c>
      <c r="C736">
        <v>346.32746759999998</v>
      </c>
      <c r="D736" s="2">
        <f t="shared" si="67"/>
        <v>-4.4675298287487715E-3</v>
      </c>
      <c r="E736" s="2">
        <f t="shared" ca="1" si="68"/>
        <v>2.1514845224864367</v>
      </c>
      <c r="F736">
        <f t="shared" ca="1" si="69"/>
        <v>2.1412051101351737</v>
      </c>
      <c r="G736" s="3">
        <f t="shared" ca="1" si="72"/>
        <v>1.9177407304550791</v>
      </c>
      <c r="H736">
        <f t="shared" ca="1" si="70"/>
        <v>1.1165248128338321</v>
      </c>
      <c r="I736">
        <f t="shared" ca="1" si="71"/>
        <v>-1.5227419655170351</v>
      </c>
    </row>
    <row r="737" spans="1:9" x14ac:dyDescent="0.3">
      <c r="A737" s="1">
        <v>41247</v>
      </c>
      <c r="B737" t="s">
        <v>0</v>
      </c>
      <c r="C737">
        <v>344.22535240000002</v>
      </c>
      <c r="D737" s="2">
        <f t="shared" si="67"/>
        <v>-6.0697328299349641E-3</v>
      </c>
      <c r="E737" s="2">
        <f t="shared" ca="1" si="68"/>
        <v>-4.4938668536384236</v>
      </c>
      <c r="F737">
        <f t="shared" ca="1" si="69"/>
        <v>-4.4983667032179664</v>
      </c>
      <c r="G737" s="3">
        <f t="shared" ca="1" si="72"/>
        <v>1.9177716348359362</v>
      </c>
      <c r="H737">
        <f t="shared" ca="1" si="70"/>
        <v>-2.3456216691841925</v>
      </c>
      <c r="I737">
        <f t="shared" ca="1" si="71"/>
        <v>-3.0074305727660078</v>
      </c>
    </row>
    <row r="738" spans="1:9" x14ac:dyDescent="0.3">
      <c r="A738" s="1">
        <v>41248</v>
      </c>
      <c r="B738" t="s">
        <v>0</v>
      </c>
      <c r="C738">
        <v>342.62635030000001</v>
      </c>
      <c r="D738" s="2">
        <f t="shared" si="67"/>
        <v>-4.6452188627347799E-3</v>
      </c>
      <c r="E738" s="2">
        <f t="shared" ca="1" si="68"/>
        <v>0.10365454189211996</v>
      </c>
      <c r="F738">
        <f t="shared" ca="1" si="69"/>
        <v>0.10824624252672677</v>
      </c>
      <c r="G738" s="3">
        <f t="shared" ca="1" si="72"/>
        <v>1.9442865576201716</v>
      </c>
      <c r="H738">
        <f t="shared" ca="1" si="70"/>
        <v>5.5674016827653931E-2</v>
      </c>
      <c r="I738">
        <f t="shared" ca="1" si="71"/>
        <v>4.4448516840288832</v>
      </c>
    </row>
    <row r="739" spans="1:9" x14ac:dyDescent="0.3">
      <c r="A739" s="1">
        <v>41249</v>
      </c>
      <c r="B739" t="s">
        <v>0</v>
      </c>
      <c r="C739">
        <v>344.27515720000002</v>
      </c>
      <c r="D739" s="2">
        <f t="shared" si="67"/>
        <v>4.8122594732026101E-3</v>
      </c>
      <c r="E739" s="2">
        <f t="shared" ca="1" si="68"/>
        <v>3.6832577461935978</v>
      </c>
      <c r="F739">
        <f t="shared" ca="1" si="69"/>
        <v>3.6884223925114941</v>
      </c>
      <c r="G739" s="3">
        <f t="shared" ca="1" si="72"/>
        <v>1.9362103880841459</v>
      </c>
      <c r="H739">
        <f t="shared" ca="1" si="70"/>
        <v>1.9049698396469912</v>
      </c>
      <c r="I739">
        <f t="shared" ca="1" si="71"/>
        <v>-2.6103993636805645</v>
      </c>
    </row>
    <row r="740" spans="1:9" x14ac:dyDescent="0.3">
      <c r="A740" s="1">
        <v>41250</v>
      </c>
      <c r="B740" t="s">
        <v>0</v>
      </c>
      <c r="C740">
        <v>340.82806870000002</v>
      </c>
      <c r="D740" s="2">
        <f t="shared" si="67"/>
        <v>-1.0012597272586493E-2</v>
      </c>
      <c r="E740" s="2">
        <f t="shared" ca="1" si="68"/>
        <v>1.467834069202588</v>
      </c>
      <c r="F740">
        <f t="shared" ca="1" si="69"/>
        <v>1.4692917821826486</v>
      </c>
      <c r="G740" s="3">
        <f t="shared" ca="1" si="72"/>
        <v>1.9506932695117243</v>
      </c>
      <c r="H740">
        <f t="shared" ca="1" si="70"/>
        <v>0.75321518003208432</v>
      </c>
      <c r="I740">
        <f t="shared" ca="1" si="71"/>
        <v>-0.76960744615365961</v>
      </c>
    </row>
    <row r="741" spans="1:9" x14ac:dyDescent="0.3">
      <c r="A741" s="1">
        <v>41253</v>
      </c>
      <c r="B741" t="s">
        <v>0</v>
      </c>
      <c r="C741">
        <v>341.43082249999998</v>
      </c>
      <c r="D741" s="2">
        <f t="shared" si="67"/>
        <v>1.7684981236991632E-3</v>
      </c>
      <c r="E741" s="2">
        <f t="shared" ca="1" si="68"/>
        <v>0.82415769521755344</v>
      </c>
      <c r="F741">
        <f t="shared" ca="1" si="69"/>
        <v>0.82414652761198159</v>
      </c>
      <c r="G741" s="3">
        <f t="shared" ca="1" si="72"/>
        <v>1.9460333367150016</v>
      </c>
      <c r="H741">
        <f t="shared" ca="1" si="70"/>
        <v>0.4235007243006334</v>
      </c>
      <c r="I741">
        <f t="shared" ca="1" si="71"/>
        <v>0.38680927553019367</v>
      </c>
    </row>
    <row r="742" spans="1:9" x14ac:dyDescent="0.3">
      <c r="A742" s="1">
        <v>41254</v>
      </c>
      <c r="B742" t="s">
        <v>0</v>
      </c>
      <c r="C742">
        <v>347.13941970000002</v>
      </c>
      <c r="D742" s="2">
        <f t="shared" si="67"/>
        <v>1.6719630519005185E-2</v>
      </c>
      <c r="E742" s="2">
        <f t="shared" ca="1" si="68"/>
        <v>0.20656211769182728</v>
      </c>
      <c r="F742">
        <f t="shared" ca="1" si="69"/>
        <v>0.21226962392680529</v>
      </c>
      <c r="G742" s="3">
        <f t="shared" ca="1" si="72"/>
        <v>1.9390304101133533</v>
      </c>
      <c r="H742">
        <f t="shared" ca="1" si="70"/>
        <v>0.10947204480119332</v>
      </c>
      <c r="I742">
        <f t="shared" ca="1" si="71"/>
        <v>3.0935919190660837</v>
      </c>
    </row>
    <row r="743" spans="1:9" x14ac:dyDescent="0.3">
      <c r="A743" s="1">
        <v>41255</v>
      </c>
      <c r="B743" t="s">
        <v>0</v>
      </c>
      <c r="C743">
        <v>347.47816549999999</v>
      </c>
      <c r="D743" s="2">
        <f t="shared" si="67"/>
        <v>9.7582060917401957E-4</v>
      </c>
      <c r="E743" s="2">
        <f t="shared" ca="1" si="68"/>
        <v>0.37953509325777013</v>
      </c>
      <c r="F743">
        <f t="shared" ca="1" si="69"/>
        <v>0.37344863931654354</v>
      </c>
      <c r="G743" s="3">
        <f t="shared" ca="1" si="72"/>
        <v>1.9310683496553798</v>
      </c>
      <c r="H743">
        <f t="shared" ca="1" si="70"/>
        <v>0.19338965365114577</v>
      </c>
      <c r="I743">
        <f t="shared" ca="1" si="71"/>
        <v>1.9699427637104305</v>
      </c>
    </row>
    <row r="744" spans="1:9" x14ac:dyDescent="0.3">
      <c r="A744" s="1">
        <v>41256</v>
      </c>
      <c r="B744" t="s">
        <v>0</v>
      </c>
      <c r="C744">
        <v>350.03856400000001</v>
      </c>
      <c r="D744" s="2">
        <f t="shared" si="67"/>
        <v>7.3685162240791774E-3</v>
      </c>
      <c r="E744" s="2">
        <f t="shared" ca="1" si="68"/>
        <v>-1.5502953038303029</v>
      </c>
      <c r="F744">
        <f t="shared" ca="1" si="69"/>
        <v>-1.5609975185232925</v>
      </c>
      <c r="G744" s="3">
        <f t="shared" ca="1" si="72"/>
        <v>1.9233546175772742</v>
      </c>
      <c r="H744">
        <f t="shared" ca="1" si="70"/>
        <v>-0.81160151344819631</v>
      </c>
      <c r="I744">
        <f t="shared" ca="1" si="71"/>
        <v>-0.89067238579830565</v>
      </c>
    </row>
    <row r="745" spans="1:9" x14ac:dyDescent="0.3">
      <c r="A745" s="1">
        <v>41257</v>
      </c>
      <c r="B745" t="s">
        <v>0</v>
      </c>
      <c r="C745">
        <v>349.66994169999998</v>
      </c>
      <c r="D745" s="2">
        <f t="shared" si="67"/>
        <v>-1.0530905389042416E-3</v>
      </c>
      <c r="E745" s="2">
        <f t="shared" ca="1" si="68"/>
        <v>-1.0129850358942771</v>
      </c>
      <c r="F745">
        <f t="shared" ca="1" si="69"/>
        <v>-1.0157897130513907</v>
      </c>
      <c r="G745" s="3">
        <f t="shared" ca="1" si="72"/>
        <v>1.9196222849821098</v>
      </c>
      <c r="H745">
        <f t="shared" ca="1" si="70"/>
        <v>-0.52916124229140082</v>
      </c>
      <c r="I745">
        <f t="shared" ca="1" si="71"/>
        <v>-3.1333779572092685E-2</v>
      </c>
    </row>
    <row r="746" spans="1:9" x14ac:dyDescent="0.3">
      <c r="A746" s="1">
        <v>41260</v>
      </c>
      <c r="B746" t="s">
        <v>0</v>
      </c>
      <c r="C746">
        <v>359.04483579999999</v>
      </c>
      <c r="D746" s="2">
        <f t="shared" si="67"/>
        <v>2.6810694835311909E-2</v>
      </c>
      <c r="E746" s="2">
        <f t="shared" ca="1" si="68"/>
        <v>1.4784986278114087</v>
      </c>
      <c r="F746">
        <f t="shared" ca="1" si="69"/>
        <v>1.474224272296119</v>
      </c>
      <c r="G746" s="3">
        <f t="shared" ca="1" si="72"/>
        <v>1.913562963180049</v>
      </c>
      <c r="H746">
        <f t="shared" ca="1" si="70"/>
        <v>0.77040802976568046</v>
      </c>
      <c r="I746">
        <f t="shared" ca="1" si="71"/>
        <v>-0.776594610476247</v>
      </c>
    </row>
    <row r="747" spans="1:9" x14ac:dyDescent="0.3">
      <c r="A747" s="1">
        <v>41261</v>
      </c>
      <c r="B747" t="s">
        <v>0</v>
      </c>
      <c r="C747">
        <v>359.18927539999999</v>
      </c>
      <c r="D747" s="2">
        <f t="shared" si="67"/>
        <v>4.0228847653014574E-4</v>
      </c>
      <c r="E747" s="2">
        <f t="shared" ca="1" si="68"/>
        <v>-1.6484558141356489</v>
      </c>
      <c r="F747">
        <f t="shared" ca="1" si="69"/>
        <v>-1.6557940807719556</v>
      </c>
      <c r="G747" s="3">
        <f t="shared" ca="1" si="72"/>
        <v>1.9095517333116634</v>
      </c>
      <c r="H747">
        <f t="shared" ca="1" si="70"/>
        <v>-0.86711140205684523</v>
      </c>
      <c r="I747">
        <f t="shared" ca="1" si="71"/>
        <v>-1.0085614607713345</v>
      </c>
    </row>
    <row r="748" spans="1:9" x14ac:dyDescent="0.3">
      <c r="A748" s="1">
        <v>41262</v>
      </c>
      <c r="B748" t="s">
        <v>0</v>
      </c>
      <c r="C748">
        <v>358.71109480000001</v>
      </c>
      <c r="D748" s="2">
        <f t="shared" si="67"/>
        <v>-1.3312774983814935E-3</v>
      </c>
      <c r="E748" s="2">
        <f t="shared" ca="1" si="68"/>
        <v>-2.0689392470717842</v>
      </c>
      <c r="F748">
        <f t="shared" ca="1" si="69"/>
        <v>-2.0857541267299324</v>
      </c>
      <c r="G748" s="3">
        <f t="shared" ca="1" si="72"/>
        <v>1.9065920463085428</v>
      </c>
      <c r="H748">
        <f t="shared" ca="1" si="70"/>
        <v>-1.0939698037491949</v>
      </c>
      <c r="I748">
        <f t="shared" ca="1" si="71"/>
        <v>-1.4702613700572711</v>
      </c>
    </row>
    <row r="749" spans="1:9" x14ac:dyDescent="0.3">
      <c r="A749" s="1">
        <v>41263</v>
      </c>
      <c r="B749" t="s">
        <v>0</v>
      </c>
      <c r="C749">
        <v>359.83188530000001</v>
      </c>
      <c r="D749" s="2">
        <f t="shared" si="67"/>
        <v>3.124493544379766E-3</v>
      </c>
      <c r="E749" s="2">
        <f t="shared" ca="1" si="68"/>
        <v>1.2334191035934312</v>
      </c>
      <c r="F749">
        <f t="shared" ca="1" si="69"/>
        <v>1.23356554082938</v>
      </c>
      <c r="G749" s="3">
        <f t="shared" ca="1" si="72"/>
        <v>1.9064797719012518</v>
      </c>
      <c r="H749">
        <f t="shared" ca="1" si="70"/>
        <v>0.64703835782070596</v>
      </c>
      <c r="I749">
        <f t="shared" ca="1" si="71"/>
        <v>-0.41982399478035748</v>
      </c>
    </row>
    <row r="750" spans="1:9" x14ac:dyDescent="0.3">
      <c r="A750" s="1">
        <v>41264</v>
      </c>
      <c r="B750" t="s">
        <v>0</v>
      </c>
      <c r="C750">
        <v>356.4794321</v>
      </c>
      <c r="D750" s="2">
        <f t="shared" si="67"/>
        <v>-9.3167207714374648E-3</v>
      </c>
      <c r="E750" s="2">
        <f t="shared" ca="1" si="68"/>
        <v>0.13322301476589588</v>
      </c>
      <c r="F750">
        <f t="shared" ca="1" si="69"/>
        <v>0.1331203808736913</v>
      </c>
      <c r="G750" s="3">
        <f t="shared" ca="1" si="72"/>
        <v>1.901457337134083</v>
      </c>
      <c r="H750">
        <f t="shared" ca="1" si="70"/>
        <v>7.0009659577391914E-2</v>
      </c>
      <c r="I750">
        <f t="shared" ca="1" si="71"/>
        <v>4.028104675451023</v>
      </c>
    </row>
    <row r="751" spans="1:9" x14ac:dyDescent="0.3">
      <c r="A751" s="1">
        <v>41267</v>
      </c>
      <c r="B751" t="s">
        <v>0</v>
      </c>
      <c r="C751">
        <v>353.4258686</v>
      </c>
      <c r="D751" s="2">
        <f t="shared" si="67"/>
        <v>-8.5658897120981913E-3</v>
      </c>
      <c r="E751" s="2">
        <f t="shared" ca="1" si="68"/>
        <v>1.3605367886564186</v>
      </c>
      <c r="F751">
        <f t="shared" ca="1" si="69"/>
        <v>1.3613691009976954</v>
      </c>
      <c r="G751" s="3">
        <f t="shared" ca="1" si="72"/>
        <v>1.8938747922041914</v>
      </c>
      <c r="H751">
        <f t="shared" ca="1" si="70"/>
        <v>0.71882740432553205</v>
      </c>
      <c r="I751">
        <f t="shared" ca="1" si="71"/>
        <v>-0.6170213612669011</v>
      </c>
    </row>
    <row r="752" spans="1:9" x14ac:dyDescent="0.3">
      <c r="A752" s="1">
        <v>41269</v>
      </c>
      <c r="B752" t="s">
        <v>0</v>
      </c>
      <c r="C752">
        <v>353.11205580000001</v>
      </c>
      <c r="D752" s="2">
        <f t="shared" si="67"/>
        <v>-8.8791689539613342E-4</v>
      </c>
      <c r="E752" s="2">
        <f t="shared" ca="1" si="68"/>
        <v>-0.8139626613007872</v>
      </c>
      <c r="F752">
        <f t="shared" ca="1" si="69"/>
        <v>-0.80560711776311789</v>
      </c>
      <c r="G752" s="3">
        <f t="shared" ca="1" si="72"/>
        <v>1.8896364369482772</v>
      </c>
      <c r="H752">
        <f t="shared" ca="1" si="70"/>
        <v>-0.42632916153128181</v>
      </c>
      <c r="I752">
        <f t="shared" ca="1" si="71"/>
        <v>0.43231698973965987</v>
      </c>
    </row>
    <row r="753" spans="1:9" x14ac:dyDescent="0.3">
      <c r="A753" s="1">
        <v>41270</v>
      </c>
      <c r="B753" t="s">
        <v>0</v>
      </c>
      <c r="C753">
        <v>351.82686649999999</v>
      </c>
      <c r="D753" s="2">
        <f t="shared" si="67"/>
        <v>-3.639607537863093E-3</v>
      </c>
      <c r="E753" s="2">
        <f t="shared" ca="1" si="68"/>
        <v>0.66641586105030914</v>
      </c>
      <c r="F753">
        <f t="shared" ca="1" si="69"/>
        <v>0.67201455841929336</v>
      </c>
      <c r="G753" s="3">
        <f t="shared" ca="1" si="72"/>
        <v>1.8833172226086285</v>
      </c>
      <c r="H753">
        <f t="shared" ca="1" si="70"/>
        <v>0.35682494183771635</v>
      </c>
      <c r="I753">
        <f t="shared" ca="1" si="71"/>
        <v>0.79492121607819566</v>
      </c>
    </row>
    <row r="754" spans="1:9" x14ac:dyDescent="0.3">
      <c r="A754" s="1">
        <v>41271</v>
      </c>
      <c r="B754" t="s">
        <v>0</v>
      </c>
      <c r="C754">
        <v>348.69859609999997</v>
      </c>
      <c r="D754" s="2">
        <f t="shared" si="67"/>
        <v>-8.8915051630942439E-3</v>
      </c>
      <c r="E754" s="2">
        <f t="shared" ca="1" si="68"/>
        <v>-1.9510439694641171</v>
      </c>
      <c r="F754">
        <f t="shared" ca="1" si="69"/>
        <v>-1.949405861360521</v>
      </c>
      <c r="G754" s="3">
        <f t="shared" ca="1" si="72"/>
        <v>1.8767252696290579</v>
      </c>
      <c r="H754">
        <f t="shared" ca="1" si="70"/>
        <v>-1.0387273475279781</v>
      </c>
      <c r="I754">
        <f t="shared" ca="1" si="71"/>
        <v>-1.3350700832962197</v>
      </c>
    </row>
    <row r="755" spans="1:9" x14ac:dyDescent="0.3">
      <c r="A755" s="1">
        <v>41274</v>
      </c>
      <c r="B755" t="s">
        <v>0</v>
      </c>
      <c r="C755">
        <v>352.36983629999997</v>
      </c>
      <c r="D755" s="2">
        <f t="shared" si="67"/>
        <v>1.0528405451185583E-2</v>
      </c>
      <c r="E755" s="2">
        <f t="shared" ca="1" si="68"/>
        <v>-0.99225713737674803</v>
      </c>
      <c r="F755">
        <f t="shared" ca="1" si="69"/>
        <v>-0.98733962622776317</v>
      </c>
      <c r="G755" s="3">
        <f t="shared" ca="1" si="72"/>
        <v>1.8763168907342418</v>
      </c>
      <c r="H755">
        <f t="shared" ca="1" si="70"/>
        <v>-0.52621155365786676</v>
      </c>
      <c r="I755">
        <f t="shared" ca="1" si="71"/>
        <v>2.5368690157441275E-2</v>
      </c>
    </row>
    <row r="756" spans="1:9" x14ac:dyDescent="0.3">
      <c r="A756" s="1">
        <v>41276</v>
      </c>
      <c r="B756" t="s">
        <v>0</v>
      </c>
      <c r="C756">
        <v>360.275215</v>
      </c>
      <c r="D756" s="2">
        <f t="shared" si="67"/>
        <v>2.2434890520168026E-2</v>
      </c>
      <c r="E756" s="2">
        <f t="shared" ca="1" si="68"/>
        <v>-2.4703329575428965</v>
      </c>
      <c r="F756">
        <f t="shared" ca="1" si="69"/>
        <v>-2.4679354532898898</v>
      </c>
      <c r="G756" s="3">
        <f t="shared" ca="1" si="72"/>
        <v>1.8707690216023793</v>
      </c>
      <c r="H756">
        <f t="shared" ca="1" si="70"/>
        <v>-1.3192090657862277</v>
      </c>
      <c r="I756">
        <f t="shared" ca="1" si="71"/>
        <v>-1.8068465426043636</v>
      </c>
    </row>
    <row r="757" spans="1:9" x14ac:dyDescent="0.3">
      <c r="A757" s="1">
        <v>41277</v>
      </c>
      <c r="B757" t="s">
        <v>0</v>
      </c>
      <c r="C757">
        <v>360.48444380000001</v>
      </c>
      <c r="D757" s="2">
        <f t="shared" si="67"/>
        <v>5.8074713799006496E-4</v>
      </c>
      <c r="E757" s="2">
        <f t="shared" ca="1" si="68"/>
        <v>1.2420602524944535</v>
      </c>
      <c r="F757">
        <f t="shared" ca="1" si="69"/>
        <v>1.2288149401719803</v>
      </c>
      <c r="G757" s="3">
        <f t="shared" ca="1" si="72"/>
        <v>1.8746952911826953</v>
      </c>
      <c r="H757">
        <f t="shared" ca="1" si="70"/>
        <v>0.6554744901486117</v>
      </c>
      <c r="I757">
        <f t="shared" ca="1" si="71"/>
        <v>-0.41210070671871768</v>
      </c>
    </row>
    <row r="758" spans="1:9" x14ac:dyDescent="0.3">
      <c r="A758" s="1">
        <v>41278</v>
      </c>
      <c r="B758" t="s">
        <v>0</v>
      </c>
      <c r="C758">
        <v>367.6077469</v>
      </c>
      <c r="D758" s="2">
        <f t="shared" si="67"/>
        <v>1.9760361986527385E-2</v>
      </c>
      <c r="E758" s="2">
        <f t="shared" ca="1" si="68"/>
        <v>-3.4757870252207157</v>
      </c>
      <c r="F758">
        <f t="shared" ca="1" si="69"/>
        <v>-3.4899303161874058</v>
      </c>
      <c r="G758" s="3">
        <f t="shared" ca="1" si="72"/>
        <v>1.8701493805143012</v>
      </c>
      <c r="H758">
        <f t="shared" ca="1" si="70"/>
        <v>-1.8661238254816073</v>
      </c>
      <c r="I758">
        <f t="shared" ca="1" si="71"/>
        <v>-2.4997955980788205</v>
      </c>
    </row>
    <row r="759" spans="1:9" x14ac:dyDescent="0.3">
      <c r="A759" s="1">
        <v>41281</v>
      </c>
      <c r="B759" t="s">
        <v>0</v>
      </c>
      <c r="C759">
        <v>366.00377099999997</v>
      </c>
      <c r="D759" s="2">
        <f t="shared" si="67"/>
        <v>-4.3632810067964949E-3</v>
      </c>
      <c r="E759" s="2">
        <f t="shared" ca="1" si="68"/>
        <v>0.79153289697032614</v>
      </c>
      <c r="F759">
        <f t="shared" ca="1" si="69"/>
        <v>0.78527941060796813</v>
      </c>
      <c r="G759" s="3">
        <f t="shared" ca="1" si="72"/>
        <v>1.8852254599129343</v>
      </c>
      <c r="H759">
        <f t="shared" ca="1" si="70"/>
        <v>0.41654403004096646</v>
      </c>
      <c r="I759">
        <f t="shared" ca="1" si="71"/>
        <v>0.4834005019632503</v>
      </c>
    </row>
    <row r="760" spans="1:9" x14ac:dyDescent="0.3">
      <c r="A760" s="1">
        <v>41282</v>
      </c>
      <c r="B760" t="s">
        <v>0</v>
      </c>
      <c r="C760">
        <v>365.28144900000001</v>
      </c>
      <c r="D760" s="2">
        <f t="shared" si="67"/>
        <v>-1.9735370431469214E-3</v>
      </c>
      <c r="E760" s="2">
        <f t="shared" ca="1" si="68"/>
        <v>-1.9774795267863612</v>
      </c>
      <c r="F760">
        <f t="shared" ca="1" si="69"/>
        <v>-1.9884832593372885</v>
      </c>
      <c r="G760" s="3">
        <f t="shared" ca="1" si="72"/>
        <v>1.8789063915158328</v>
      </c>
      <c r="H760">
        <f t="shared" ca="1" si="70"/>
        <v>-1.0583194928263846</v>
      </c>
      <c r="I760">
        <f t="shared" ca="1" si="71"/>
        <v>-1.3747453188058454</v>
      </c>
    </row>
    <row r="761" spans="1:9" x14ac:dyDescent="0.3">
      <c r="A761" s="1">
        <v>41283</v>
      </c>
      <c r="B761" t="s">
        <v>0</v>
      </c>
      <c r="C761">
        <v>367.68245439999998</v>
      </c>
      <c r="D761" s="2">
        <f t="shared" si="67"/>
        <v>6.5730285689924919E-3</v>
      </c>
      <c r="E761" s="2">
        <f t="shared" ca="1" si="68"/>
        <v>-1.2150138086620781</v>
      </c>
      <c r="F761">
        <f t="shared" ca="1" si="69"/>
        <v>-1.2117083674460265</v>
      </c>
      <c r="G761" s="3">
        <f t="shared" ca="1" si="72"/>
        <v>1.8787280058320899</v>
      </c>
      <c r="H761">
        <f t="shared" ca="1" si="70"/>
        <v>-0.64496210397915477</v>
      </c>
      <c r="I761">
        <f t="shared" ca="1" si="71"/>
        <v>-0.38409190179189484</v>
      </c>
    </row>
    <row r="762" spans="1:9" x14ac:dyDescent="0.3">
      <c r="A762" s="1">
        <v>41284</v>
      </c>
      <c r="B762" t="s">
        <v>0</v>
      </c>
      <c r="C762">
        <v>369.35619380000003</v>
      </c>
      <c r="D762" s="2">
        <f t="shared" si="67"/>
        <v>4.552132906998037E-3</v>
      </c>
      <c r="E762" s="2">
        <f t="shared" ca="1" si="68"/>
        <v>-1.8486401465822511</v>
      </c>
      <c r="F762">
        <f t="shared" ca="1" si="69"/>
        <v>-1.8493710815417543</v>
      </c>
      <c r="G762" s="3">
        <f t="shared" ca="1" si="72"/>
        <v>1.8740424732068008</v>
      </c>
      <c r="H762">
        <f t="shared" ca="1" si="70"/>
        <v>-0.9868352014333861</v>
      </c>
      <c r="I762">
        <f t="shared" ca="1" si="71"/>
        <v>-1.2296973094694845</v>
      </c>
    </row>
    <row r="763" spans="1:9" x14ac:dyDescent="0.3">
      <c r="A763" s="1">
        <v>41285</v>
      </c>
      <c r="B763" t="s">
        <v>0</v>
      </c>
      <c r="C763">
        <v>368.6139743</v>
      </c>
      <c r="D763" s="2">
        <f t="shared" si="67"/>
        <v>-2.0094952039762786E-3</v>
      </c>
      <c r="E763" s="2">
        <f t="shared" ca="1" si="68"/>
        <v>-0.16296924968799983</v>
      </c>
      <c r="F763">
        <f t="shared" ca="1" si="69"/>
        <v>-0.16841954158557768</v>
      </c>
      <c r="G763" s="3">
        <f t="shared" ca="1" si="72"/>
        <v>1.8730002127101293</v>
      </c>
      <c r="H763">
        <f t="shared" ca="1" si="70"/>
        <v>-8.9919659614925387E-2</v>
      </c>
      <c r="I763">
        <f t="shared" ca="1" si="71"/>
        <v>3.5624519221432465</v>
      </c>
    </row>
    <row r="764" spans="1:9" x14ac:dyDescent="0.3">
      <c r="A764" s="1">
        <v>41288</v>
      </c>
      <c r="B764" t="s">
        <v>0</v>
      </c>
      <c r="C764">
        <v>360.275215</v>
      </c>
      <c r="D764" s="2">
        <f t="shared" si="67"/>
        <v>-2.2621929393304589E-2</v>
      </c>
      <c r="E764" s="2">
        <f t="shared" ca="1" si="68"/>
        <v>2.5550636975627481</v>
      </c>
      <c r="F764">
        <f t="shared" ca="1" si="69"/>
        <v>2.5528282614568103</v>
      </c>
      <c r="G764" s="3">
        <f t="shared" ca="1" si="72"/>
        <v>1.8657625962758715</v>
      </c>
      <c r="H764">
        <f t="shared" ca="1" si="70"/>
        <v>1.3682492437957252</v>
      </c>
      <c r="I764">
        <f t="shared" ca="1" si="71"/>
        <v>-1.8744822598495661</v>
      </c>
    </row>
    <row r="765" spans="1:9" x14ac:dyDescent="0.3">
      <c r="A765" s="1">
        <v>41289</v>
      </c>
      <c r="B765" t="s">
        <v>0</v>
      </c>
      <c r="C765">
        <v>361.11209969999999</v>
      </c>
      <c r="D765" s="2">
        <f t="shared" si="67"/>
        <v>2.3229038944574208E-3</v>
      </c>
      <c r="E765" s="2">
        <f t="shared" ca="1" si="68"/>
        <v>3.1917100442385413</v>
      </c>
      <c r="F765">
        <f t="shared" ca="1" si="69"/>
        <v>3.1997064278099834</v>
      </c>
      <c r="G765" s="3">
        <f t="shared" ca="1" si="72"/>
        <v>1.8706228041770219</v>
      </c>
      <c r="H765">
        <f t="shared" ca="1" si="70"/>
        <v>1.7105032723139981</v>
      </c>
      <c r="I765">
        <f t="shared" ca="1" si="71"/>
        <v>-2.3261186556139672</v>
      </c>
    </row>
    <row r="766" spans="1:9" x14ac:dyDescent="0.3">
      <c r="A766" s="1">
        <v>41290</v>
      </c>
      <c r="B766" t="s">
        <v>0</v>
      </c>
      <c r="C766">
        <v>356.2602546</v>
      </c>
      <c r="D766" s="2">
        <f t="shared" si="67"/>
        <v>-1.3435841956087165E-2</v>
      </c>
      <c r="E766" s="2">
        <f t="shared" ca="1" si="68"/>
        <v>0.90582221019318365</v>
      </c>
      <c r="F766">
        <f t="shared" ca="1" si="69"/>
        <v>0.91921620125919923</v>
      </c>
      <c r="G766" s="3">
        <f t="shared" ca="1" si="72"/>
        <v>1.8821370708408511</v>
      </c>
      <c r="H766">
        <f t="shared" ca="1" si="70"/>
        <v>0.48838961598505481</v>
      </c>
      <c r="I766">
        <f t="shared" ca="1" si="71"/>
        <v>0.16825420858822895</v>
      </c>
    </row>
    <row r="767" spans="1:9" x14ac:dyDescent="0.3">
      <c r="A767" s="1">
        <v>41291</v>
      </c>
      <c r="B767" t="s">
        <v>0</v>
      </c>
      <c r="C767">
        <v>354.33248639999999</v>
      </c>
      <c r="D767" s="2">
        <f t="shared" si="67"/>
        <v>-5.4111233995620756E-3</v>
      </c>
      <c r="E767" s="2">
        <f t="shared" ca="1" si="68"/>
        <v>-4.694713473658001</v>
      </c>
      <c r="F767">
        <f t="shared" ca="1" si="69"/>
        <v>-4.6921538345060592</v>
      </c>
      <c r="G767" s="3">
        <f t="shared" ca="1" si="72"/>
        <v>1.8762715155009126</v>
      </c>
      <c r="H767">
        <f t="shared" ca="1" si="70"/>
        <v>-2.5007861579422763</v>
      </c>
      <c r="I767">
        <f t="shared" ca="1" si="71"/>
        <v>-3.0917847635481874</v>
      </c>
    </row>
    <row r="768" spans="1:9" x14ac:dyDescent="0.3">
      <c r="A768" s="1">
        <v>41292</v>
      </c>
      <c r="B768" t="s">
        <v>0</v>
      </c>
      <c r="C768">
        <v>350.94020740000002</v>
      </c>
      <c r="D768" s="2">
        <f t="shared" si="67"/>
        <v>-9.5737171447793437E-3</v>
      </c>
      <c r="E768" s="2">
        <f t="shared" ca="1" si="68"/>
        <v>-6.1954576388535465E-2</v>
      </c>
      <c r="F768">
        <f t="shared" ca="1" si="69"/>
        <v>-5.1974711979148762E-2</v>
      </c>
      <c r="G768" s="3">
        <f t="shared" ca="1" si="72"/>
        <v>1.9087377190757311</v>
      </c>
      <c r="H768">
        <f t="shared" ca="1" si="70"/>
        <v>-2.7229886777904982E-2</v>
      </c>
      <c r="I768">
        <f t="shared" ca="1" si="71"/>
        <v>5.8800665093566025</v>
      </c>
    </row>
    <row r="769" spans="1:9" x14ac:dyDescent="0.3">
      <c r="A769" s="1">
        <v>41296</v>
      </c>
      <c r="B769" t="s">
        <v>0</v>
      </c>
      <c r="C769">
        <v>350.12325060000001</v>
      </c>
      <c r="D769" s="2">
        <f t="shared" si="67"/>
        <v>-2.3279088083197333E-3</v>
      </c>
      <c r="E769" s="2">
        <f t="shared" ca="1" si="68"/>
        <v>-0.65525430075954816</v>
      </c>
      <c r="F769">
        <f t="shared" ca="1" si="69"/>
        <v>-0.64903026049746493</v>
      </c>
      <c r="G769" s="3">
        <f t="shared" ca="1" si="72"/>
        <v>1.9010463826266688</v>
      </c>
      <c r="H769">
        <f t="shared" ca="1" si="70"/>
        <v>-0.34140685173641172</v>
      </c>
      <c r="I769">
        <f t="shared" ca="1" si="71"/>
        <v>0.86453900927112504</v>
      </c>
    </row>
    <row r="770" spans="1:9" x14ac:dyDescent="0.3">
      <c r="A770" s="1">
        <v>41297</v>
      </c>
      <c r="B770" t="s">
        <v>0</v>
      </c>
      <c r="C770">
        <v>369.36617289999998</v>
      </c>
      <c r="D770" s="2">
        <f t="shared" si="67"/>
        <v>5.4960423985050182E-2</v>
      </c>
      <c r="E770" s="2">
        <f t="shared" ca="1" si="68"/>
        <v>-1.4076687923282136</v>
      </c>
      <c r="F770">
        <f t="shared" ca="1" si="69"/>
        <v>-1.4010131683219165</v>
      </c>
      <c r="G770" s="3">
        <f t="shared" ca="1" si="72"/>
        <v>1.8941770984086841</v>
      </c>
      <c r="H770">
        <f t="shared" ca="1" si="70"/>
        <v>-0.739642121900281</v>
      </c>
      <c r="I770">
        <f t="shared" ca="1" si="71"/>
        <v>-0.67593025191412592</v>
      </c>
    </row>
    <row r="771" spans="1:9" x14ac:dyDescent="0.3">
      <c r="A771" s="1">
        <v>41298</v>
      </c>
      <c r="B771" t="s">
        <v>0</v>
      </c>
      <c r="C771">
        <v>375.69745219999999</v>
      </c>
      <c r="D771" s="2">
        <f t="shared" si="67"/>
        <v>1.7140928879034352E-2</v>
      </c>
      <c r="E771" s="2">
        <f t="shared" ca="1" si="68"/>
        <v>0.82280926616066941</v>
      </c>
      <c r="F771">
        <f t="shared" ca="1" si="69"/>
        <v>0.80787154825735141</v>
      </c>
      <c r="G771" s="3">
        <f t="shared" ca="1" si="72"/>
        <v>1.8901278314079761</v>
      </c>
      <c r="H771">
        <f t="shared" ca="1" si="70"/>
        <v>0.42741635503856867</v>
      </c>
      <c r="I771">
        <f t="shared" ca="1" si="71"/>
        <v>0.42625423825092251</v>
      </c>
    </row>
    <row r="772" spans="1:9" x14ac:dyDescent="0.3">
      <c r="A772" s="1">
        <v>41299</v>
      </c>
      <c r="B772" t="s">
        <v>0</v>
      </c>
      <c r="C772">
        <v>375.42843900000003</v>
      </c>
      <c r="D772" s="2">
        <f t="shared" ref="D772:D835" si="73">(C772-C771)/C771</f>
        <v>-7.1603679616318884E-4</v>
      </c>
      <c r="E772" s="2">
        <f t="shared" ca="1" si="68"/>
        <v>-4.3991880133542942</v>
      </c>
      <c r="F772">
        <f t="shared" ca="1" si="69"/>
        <v>-4.4385225204854475</v>
      </c>
      <c r="G772" s="3">
        <f t="shared" ca="1" si="72"/>
        <v>1.8838086509177303</v>
      </c>
      <c r="H772">
        <f t="shared" ca="1" si="70"/>
        <v>-2.3561429757333068</v>
      </c>
      <c r="I772">
        <f t="shared" ca="1" si="71"/>
        <v>-2.9806431368430366</v>
      </c>
    </row>
    <row r="773" spans="1:9" x14ac:dyDescent="0.3">
      <c r="A773" s="1">
        <v>41302</v>
      </c>
      <c r="B773" t="s">
        <v>0</v>
      </c>
      <c r="C773">
        <v>373.96392839999999</v>
      </c>
      <c r="D773" s="2">
        <f t="shared" si="73"/>
        <v>-3.9009048006617302E-3</v>
      </c>
      <c r="E773" s="2">
        <f t="shared" ca="1" si="68"/>
        <v>-0.24021076602744129</v>
      </c>
      <c r="F773">
        <f t="shared" ca="1" si="69"/>
        <v>-0.25067086840934655</v>
      </c>
      <c r="G773" s="3">
        <f t="shared" ca="1" si="72"/>
        <v>1.911622367398401</v>
      </c>
      <c r="H773">
        <f t="shared" ca="1" si="70"/>
        <v>-0.13112990969575963</v>
      </c>
      <c r="I773">
        <f t="shared" ca="1" si="71"/>
        <v>2.7669867916722826</v>
      </c>
    </row>
    <row r="774" spans="1:9" x14ac:dyDescent="0.3">
      <c r="A774" s="1">
        <v>41303</v>
      </c>
      <c r="B774" t="s">
        <v>0</v>
      </c>
      <c r="C774">
        <v>375.43344430000002</v>
      </c>
      <c r="D774" s="2">
        <f t="shared" si="73"/>
        <v>3.9295658976718382E-3</v>
      </c>
      <c r="E774" s="2">
        <f t="shared" ref="E774:E837" ca="1" si="74">$N$9*D773+$N$10*D772+F774</f>
        <v>1.7636649738403256</v>
      </c>
      <c r="F774">
        <f t="shared" ref="F774:F837" ca="1" si="75">G774*H774</f>
        <v>1.7652739625872063</v>
      </c>
      <c r="G774" s="3">
        <f t="shared" ca="1" si="72"/>
        <v>1.9040023028971897</v>
      </c>
      <c r="H774">
        <f t="shared" ref="H774:H837" ca="1" si="76">_xlfn.NORM.S.INV(RAND())</f>
        <v>0.92713856485420731</v>
      </c>
      <c r="I774">
        <f t="shared" ref="I774:I837" ca="1" si="77">-LN(F774^2)-(D774^2)/(F774^2)</f>
        <v>-1.136616751114788</v>
      </c>
    </row>
    <row r="775" spans="1:9" x14ac:dyDescent="0.3">
      <c r="A775" s="1">
        <v>41304</v>
      </c>
      <c r="B775" t="s">
        <v>0</v>
      </c>
      <c r="C775">
        <v>375.50815130000001</v>
      </c>
      <c r="D775" s="2">
        <f t="shared" si="73"/>
        <v>1.9898866532597139E-4</v>
      </c>
      <c r="E775" s="2">
        <f t="shared" ca="1" si="74"/>
        <v>2.8142833415632649</v>
      </c>
      <c r="F775">
        <f t="shared" ca="1" si="75"/>
        <v>2.8155407613536392</v>
      </c>
      <c r="G775" s="3">
        <f t="shared" ref="G775:G838" ca="1" si="78">SQRT($N$6+$N$7*(H774^2)+$N$8*(G774^2))</f>
        <v>1.9017998291305442</v>
      </c>
      <c r="H775">
        <f t="shared" ca="1" si="76"/>
        <v>1.480461149605232</v>
      </c>
      <c r="I775">
        <f t="shared" ca="1" si="77"/>
        <v>-2.0703086911766282</v>
      </c>
    </row>
    <row r="776" spans="1:9" x14ac:dyDescent="0.3">
      <c r="A776" s="1">
        <v>41305</v>
      </c>
      <c r="B776" t="s">
        <v>0</v>
      </c>
      <c r="C776">
        <v>376.43466649999999</v>
      </c>
      <c r="D776" s="2">
        <f t="shared" si="73"/>
        <v>2.4673637490755132E-3</v>
      </c>
      <c r="E776" s="2">
        <f t="shared" ca="1" si="74"/>
        <v>0.56907742612391354</v>
      </c>
      <c r="F776">
        <f t="shared" ca="1" si="75"/>
        <v>0.56657116687292852</v>
      </c>
      <c r="G776" s="3">
        <f t="shared" ca="1" si="78"/>
        <v>1.9080383373862413</v>
      </c>
      <c r="H776">
        <f t="shared" ca="1" si="76"/>
        <v>0.29693908962492632</v>
      </c>
      <c r="I776">
        <f t="shared" ca="1" si="77"/>
        <v>1.1362861965129205</v>
      </c>
    </row>
    <row r="777" spans="1:9" x14ac:dyDescent="0.3">
      <c r="A777" s="1">
        <v>41306</v>
      </c>
      <c r="B777" t="s">
        <v>0</v>
      </c>
      <c r="C777">
        <v>386.35253039999998</v>
      </c>
      <c r="D777" s="2">
        <f t="shared" si="73"/>
        <v>2.6346839923681649E-2</v>
      </c>
      <c r="E777" s="2">
        <f t="shared" ca="1" si="74"/>
        <v>-2.0211691675593659</v>
      </c>
      <c r="F777">
        <f t="shared" ca="1" si="75"/>
        <v>-2.0220287597434097</v>
      </c>
      <c r="G777" s="3">
        <f t="shared" ca="1" si="78"/>
        <v>1.9009077754113173</v>
      </c>
      <c r="H777">
        <f t="shared" ca="1" si="76"/>
        <v>-1.0637174437912351</v>
      </c>
      <c r="I777">
        <f t="shared" ca="1" si="77"/>
        <v>-1.4083724662117687</v>
      </c>
    </row>
    <row r="778" spans="1:9" x14ac:dyDescent="0.3">
      <c r="A778" s="1">
        <v>41309</v>
      </c>
      <c r="B778" t="s">
        <v>0</v>
      </c>
      <c r="C778">
        <v>378.09345239999999</v>
      </c>
      <c r="D778" s="2">
        <f t="shared" si="73"/>
        <v>-2.1377051656550995E-2</v>
      </c>
      <c r="E778" s="2">
        <f t="shared" ca="1" si="74"/>
        <v>0.73921805281756037</v>
      </c>
      <c r="F778">
        <f t="shared" ca="1" si="75"/>
        <v>0.72982591642576466</v>
      </c>
      <c r="G778" s="3">
        <f t="shared" ca="1" si="78"/>
        <v>1.9004694404875859</v>
      </c>
      <c r="H778">
        <f t="shared" ca="1" si="76"/>
        <v>0.38402402105372446</v>
      </c>
      <c r="I778">
        <f t="shared" ca="1" si="77"/>
        <v>0.62904054759071004</v>
      </c>
    </row>
    <row r="779" spans="1:9" x14ac:dyDescent="0.3">
      <c r="A779" s="1">
        <v>41310</v>
      </c>
      <c r="B779" t="s">
        <v>0</v>
      </c>
      <c r="C779">
        <v>381.44093120000002</v>
      </c>
      <c r="D779" s="2">
        <f t="shared" si="73"/>
        <v>8.8535751644241729E-3</v>
      </c>
      <c r="E779" s="2">
        <f t="shared" ca="1" si="74"/>
        <v>0.11519202934532738</v>
      </c>
      <c r="F779">
        <f t="shared" ca="1" si="75"/>
        <v>0.10515983715474191</v>
      </c>
      <c r="G779" s="3">
        <f t="shared" ca="1" si="78"/>
        <v>1.8938031262918162</v>
      </c>
      <c r="H779">
        <f t="shared" ca="1" si="76"/>
        <v>5.5528389247435334E-2</v>
      </c>
      <c r="I779">
        <f t="shared" ca="1" si="77"/>
        <v>4.4974594294777397</v>
      </c>
    </row>
    <row r="780" spans="1:9" x14ac:dyDescent="0.3">
      <c r="A780" s="1">
        <v>41311</v>
      </c>
      <c r="B780" t="s">
        <v>0</v>
      </c>
      <c r="C780">
        <v>383.64766090000001</v>
      </c>
      <c r="D780" s="2">
        <f t="shared" si="73"/>
        <v>5.7852462059005752E-3</v>
      </c>
      <c r="E780" s="2">
        <f t="shared" ca="1" si="74"/>
        <v>0.31685764933026811</v>
      </c>
      <c r="F780">
        <f t="shared" ca="1" si="75"/>
        <v>0.32752923866419387</v>
      </c>
      <c r="G780" s="3">
        <f t="shared" ca="1" si="78"/>
        <v>1.8862959462382625</v>
      </c>
      <c r="H780">
        <f t="shared" ca="1" si="76"/>
        <v>0.17363618859350657</v>
      </c>
      <c r="I780">
        <f t="shared" ca="1" si="77"/>
        <v>2.2320439069963824</v>
      </c>
    </row>
    <row r="781" spans="1:9" x14ac:dyDescent="0.3">
      <c r="A781" s="1">
        <v>41312</v>
      </c>
      <c r="B781" t="s">
        <v>0</v>
      </c>
      <c r="C781">
        <v>385.53059869999998</v>
      </c>
      <c r="D781" s="2">
        <f t="shared" si="73"/>
        <v>4.9079871765223089E-3</v>
      </c>
      <c r="E781" s="2">
        <f t="shared" ca="1" si="74"/>
        <v>0.77381085623703527</v>
      </c>
      <c r="F781">
        <f t="shared" ca="1" si="75"/>
        <v>0.76657280373547698</v>
      </c>
      <c r="G781" s="3">
        <f t="shared" ca="1" si="78"/>
        <v>1.8790473447175782</v>
      </c>
      <c r="H781">
        <f t="shared" ca="1" si="76"/>
        <v>0.40795821664125942</v>
      </c>
      <c r="I781">
        <f t="shared" ca="1" si="77"/>
        <v>0.53161021419037235</v>
      </c>
    </row>
    <row r="782" spans="1:9" x14ac:dyDescent="0.3">
      <c r="A782" s="1">
        <v>41313</v>
      </c>
      <c r="B782" t="s">
        <v>0</v>
      </c>
      <c r="C782">
        <v>391.21929849999998</v>
      </c>
      <c r="D782" s="2">
        <f t="shared" si="73"/>
        <v>1.4755507913463044E-2</v>
      </c>
      <c r="E782" s="2">
        <f t="shared" ca="1" si="74"/>
        <v>3.4582487076486705</v>
      </c>
      <c r="F782">
        <f t="shared" ca="1" si="75"/>
        <v>3.4531828617820581</v>
      </c>
      <c r="G782" s="3">
        <f t="shared" ca="1" si="78"/>
        <v>1.8727569195496654</v>
      </c>
      <c r="H782">
        <f t="shared" ca="1" si="76"/>
        <v>1.8439034055804913</v>
      </c>
      <c r="I782">
        <f t="shared" ca="1" si="77"/>
        <v>-2.478611007413154</v>
      </c>
    </row>
    <row r="783" spans="1:9" x14ac:dyDescent="0.3">
      <c r="A783" s="1">
        <v>41316</v>
      </c>
      <c r="B783" t="s">
        <v>0</v>
      </c>
      <c r="C783">
        <v>389.7497831</v>
      </c>
      <c r="D783" s="2">
        <f t="shared" si="73"/>
        <v>-3.7562446577516615E-3</v>
      </c>
      <c r="E783" s="2">
        <f t="shared" ca="1" si="74"/>
        <v>2.8335790449158527</v>
      </c>
      <c r="F783">
        <f t="shared" ca="1" si="75"/>
        <v>2.8261232749909246</v>
      </c>
      <c r="G783" s="3">
        <f t="shared" ca="1" si="78"/>
        <v>1.8872477390544724</v>
      </c>
      <c r="H783">
        <f t="shared" ca="1" si="76"/>
        <v>1.497483990314296</v>
      </c>
      <c r="I783">
        <f t="shared" ca="1" si="77"/>
        <v>-2.0778135766174901</v>
      </c>
    </row>
    <row r="784" spans="1:9" x14ac:dyDescent="0.3">
      <c r="A784" s="1">
        <v>41317</v>
      </c>
      <c r="B784" t="s">
        <v>0</v>
      </c>
      <c r="C784">
        <v>388.89300109999999</v>
      </c>
      <c r="D784" s="2">
        <f t="shared" si="73"/>
        <v>-2.1982873041912149E-3</v>
      </c>
      <c r="E784" s="2">
        <f t="shared" ca="1" si="74"/>
        <v>1.8673913961623037</v>
      </c>
      <c r="F784">
        <f t="shared" ca="1" si="75"/>
        <v>1.8593231724547552</v>
      </c>
      <c r="G784" s="3">
        <f t="shared" ca="1" si="78"/>
        <v>1.8940784481499313</v>
      </c>
      <c r="H784">
        <f t="shared" ca="1" si="76"/>
        <v>0.98165056166014464</v>
      </c>
      <c r="I784">
        <f t="shared" ca="1" si="77"/>
        <v>-1.2404264692965974</v>
      </c>
    </row>
    <row r="785" spans="1:9" x14ac:dyDescent="0.3">
      <c r="A785" s="1">
        <v>41318</v>
      </c>
      <c r="B785" t="s">
        <v>0</v>
      </c>
      <c r="C785">
        <v>389.9689611</v>
      </c>
      <c r="D785" s="2">
        <f t="shared" si="73"/>
        <v>2.7667250296524023E-3</v>
      </c>
      <c r="E785" s="2">
        <f t="shared" ca="1" si="74"/>
        <v>-2.7773494261443679</v>
      </c>
      <c r="F785">
        <f t="shared" ca="1" si="75"/>
        <v>-2.7743549716976577</v>
      </c>
      <c r="G785" s="3">
        <f t="shared" ca="1" si="78"/>
        <v>1.8926775469660542</v>
      </c>
      <c r="H785">
        <f t="shared" ca="1" si="76"/>
        <v>-1.4658360459471425</v>
      </c>
      <c r="I785">
        <f t="shared" ca="1" si="77"/>
        <v>-2.0408375496031228</v>
      </c>
    </row>
    <row r="786" spans="1:9" x14ac:dyDescent="0.3">
      <c r="A786" s="1">
        <v>41319</v>
      </c>
      <c r="B786" t="s">
        <v>0</v>
      </c>
      <c r="C786">
        <v>392.4397295</v>
      </c>
      <c r="D786" s="2">
        <f t="shared" si="73"/>
        <v>6.3358078371945513E-3</v>
      </c>
      <c r="E786" s="2">
        <f t="shared" ca="1" si="74"/>
        <v>2.1938851463481037</v>
      </c>
      <c r="F786">
        <f t="shared" ca="1" si="75"/>
        <v>2.1944290708056728</v>
      </c>
      <c r="G786" s="3">
        <f t="shared" ca="1" si="78"/>
        <v>1.8988126300469674</v>
      </c>
      <c r="H786">
        <f t="shared" ca="1" si="76"/>
        <v>1.1556848928013468</v>
      </c>
      <c r="I786">
        <f t="shared" ca="1" si="77"/>
        <v>-1.5718521526163904</v>
      </c>
    </row>
    <row r="787" spans="1:9" x14ac:dyDescent="0.3">
      <c r="A787" s="1">
        <v>41320</v>
      </c>
      <c r="B787" t="s">
        <v>0</v>
      </c>
      <c r="C787">
        <v>394.96524629999999</v>
      </c>
      <c r="D787" s="2">
        <f t="shared" si="73"/>
        <v>6.4354259014949991E-3</v>
      </c>
      <c r="E787" s="2">
        <f t="shared" ca="1" si="74"/>
        <v>1.1707974452341643</v>
      </c>
      <c r="F787">
        <f t="shared" ca="1" si="75"/>
        <v>1.1671854957596459</v>
      </c>
      <c r="G787" s="3">
        <f t="shared" ca="1" si="78"/>
        <v>1.8996976366967944</v>
      </c>
      <c r="H787">
        <f t="shared" ca="1" si="76"/>
        <v>0.61440593135082011</v>
      </c>
      <c r="I787">
        <f t="shared" ca="1" si="77"/>
        <v>-0.30922098333465076</v>
      </c>
    </row>
    <row r="788" spans="1:9" x14ac:dyDescent="0.3">
      <c r="A788" s="1">
        <v>41324</v>
      </c>
      <c r="B788" t="s">
        <v>0</v>
      </c>
      <c r="C788">
        <v>401.91920709999999</v>
      </c>
      <c r="D788" s="2">
        <f t="shared" si="73"/>
        <v>1.7606513142976763E-2</v>
      </c>
      <c r="E788" s="2">
        <f t="shared" ca="1" si="74"/>
        <v>1.4667043961636617</v>
      </c>
      <c r="F788">
        <f t="shared" ca="1" si="75"/>
        <v>1.4608402879469966</v>
      </c>
      <c r="G788" s="3">
        <f t="shared" ca="1" si="78"/>
        <v>1.8945002393309458</v>
      </c>
      <c r="H788">
        <f t="shared" ca="1" si="76"/>
        <v>0.77109533037741984</v>
      </c>
      <c r="I788">
        <f t="shared" ca="1" si="77"/>
        <v>-0.75816887809406852</v>
      </c>
    </row>
    <row r="789" spans="1:9" x14ac:dyDescent="0.3">
      <c r="A789" s="1">
        <v>41325</v>
      </c>
      <c r="B789" t="s">
        <v>0</v>
      </c>
      <c r="C789">
        <v>394.75104320000003</v>
      </c>
      <c r="D789" s="2">
        <f t="shared" si="73"/>
        <v>-1.7834837881277179E-2</v>
      </c>
      <c r="E789" s="2">
        <f t="shared" ca="1" si="74"/>
        <v>-2.2504875784913194</v>
      </c>
      <c r="F789">
        <f t="shared" ca="1" si="75"/>
        <v>-2.2597445506965408</v>
      </c>
      <c r="G789" s="3">
        <f t="shared" ca="1" si="78"/>
        <v>1.8907487840701755</v>
      </c>
      <c r="H789">
        <f t="shared" ca="1" si="76"/>
        <v>-1.1951585370490287</v>
      </c>
      <c r="I789">
        <f t="shared" ca="1" si="77"/>
        <v>-1.6305658426482423</v>
      </c>
    </row>
    <row r="790" spans="1:9" x14ac:dyDescent="0.3">
      <c r="A790" s="1">
        <v>41326</v>
      </c>
      <c r="B790" t="s">
        <v>0</v>
      </c>
      <c r="C790">
        <v>396.2803121</v>
      </c>
      <c r="D790" s="2">
        <f t="shared" si="73"/>
        <v>3.8740085082566203E-3</v>
      </c>
      <c r="E790" s="2">
        <f t="shared" ca="1" si="74"/>
        <v>-3.446436333939499</v>
      </c>
      <c r="F790">
        <f t="shared" ca="1" si="75"/>
        <v>-3.4520821192376765</v>
      </c>
      <c r="G790" s="3">
        <f t="shared" ca="1" si="78"/>
        <v>1.8923504914166804</v>
      </c>
      <c r="H790">
        <f t="shared" ca="1" si="76"/>
        <v>-1.8242297792589817</v>
      </c>
      <c r="I790">
        <f t="shared" ca="1" si="77"/>
        <v>-2.4779563830364411</v>
      </c>
    </row>
    <row r="791" spans="1:9" x14ac:dyDescent="0.3">
      <c r="A791" s="1">
        <v>41327</v>
      </c>
      <c r="B791" t="s">
        <v>0</v>
      </c>
      <c r="C791">
        <v>398.36252990000003</v>
      </c>
      <c r="D791" s="2">
        <f t="shared" si="73"/>
        <v>5.2544063795795714E-3</v>
      </c>
      <c r="E791" s="2">
        <f t="shared" ca="1" si="74"/>
        <v>2.8914959112784913</v>
      </c>
      <c r="F791">
        <f t="shared" ca="1" si="75"/>
        <v>2.9014465104777951</v>
      </c>
      <c r="G791" s="3">
        <f t="shared" ca="1" si="78"/>
        <v>1.9059416339327651</v>
      </c>
      <c r="H791">
        <f t="shared" ca="1" si="76"/>
        <v>1.5223165593433634</v>
      </c>
      <c r="I791">
        <f t="shared" ca="1" si="77"/>
        <v>-2.1304220982819824</v>
      </c>
    </row>
    <row r="792" spans="1:9" x14ac:dyDescent="0.3">
      <c r="A792" s="1">
        <v>41330</v>
      </c>
      <c r="B792" t="s">
        <v>0</v>
      </c>
      <c r="C792">
        <v>393.90921409999999</v>
      </c>
      <c r="D792" s="2">
        <f t="shared" si="73"/>
        <v>-1.117905291222532E-2</v>
      </c>
      <c r="E792" s="2">
        <f t="shared" ca="1" si="74"/>
        <v>2.7419544927594126</v>
      </c>
      <c r="F792">
        <f t="shared" ca="1" si="75"/>
        <v>2.7379754780613679</v>
      </c>
      <c r="G792" s="3">
        <f t="shared" ca="1" si="78"/>
        <v>1.9128934024694448</v>
      </c>
      <c r="H792">
        <f t="shared" ca="1" si="76"/>
        <v>1.4313267401763137</v>
      </c>
      <c r="I792">
        <f t="shared" ca="1" si="77"/>
        <v>-2.0144542119402251</v>
      </c>
    </row>
    <row r="793" spans="1:9" x14ac:dyDescent="0.3">
      <c r="A793" s="1">
        <v>41331</v>
      </c>
      <c r="B793" t="s">
        <v>0</v>
      </c>
      <c r="C793">
        <v>393.59039660000002</v>
      </c>
      <c r="D793" s="2">
        <f t="shared" si="73"/>
        <v>-8.0936796751098395E-4</v>
      </c>
      <c r="E793" s="2">
        <f t="shared" ca="1" si="74"/>
        <v>0.41319050552376035</v>
      </c>
      <c r="F793">
        <f t="shared" ca="1" si="75"/>
        <v>0.41325181125936994</v>
      </c>
      <c r="G793" s="3">
        <f t="shared" ca="1" si="78"/>
        <v>1.9180310154204645</v>
      </c>
      <c r="H793">
        <f t="shared" ca="1" si="76"/>
        <v>0.21545627152894511</v>
      </c>
      <c r="I793">
        <f t="shared" ca="1" si="77"/>
        <v>1.7673924827979042</v>
      </c>
    </row>
    <row r="794" spans="1:9" x14ac:dyDescent="0.3">
      <c r="A794" s="1">
        <v>41332</v>
      </c>
      <c r="B794" t="s">
        <v>0</v>
      </c>
      <c r="C794">
        <v>398.39738130000001</v>
      </c>
      <c r="D794" s="2">
        <f t="shared" si="73"/>
        <v>1.2213165619701979E-2</v>
      </c>
      <c r="E794" s="2">
        <f t="shared" ca="1" si="74"/>
        <v>2.919187718751489</v>
      </c>
      <c r="F794">
        <f t="shared" ca="1" si="75"/>
        <v>2.9263902036400862</v>
      </c>
      <c r="G794" s="3">
        <f t="shared" ca="1" si="78"/>
        <v>1.9105221782982149</v>
      </c>
      <c r="H794">
        <f t="shared" ca="1" si="76"/>
        <v>1.5317227074781981</v>
      </c>
      <c r="I794">
        <f t="shared" ca="1" si="77"/>
        <v>-2.1475567198853538</v>
      </c>
    </row>
    <row r="795" spans="1:9" x14ac:dyDescent="0.3">
      <c r="A795" s="1">
        <v>41333</v>
      </c>
      <c r="B795" t="s">
        <v>0</v>
      </c>
      <c r="C795">
        <v>399.1047494</v>
      </c>
      <c r="D795" s="2">
        <f t="shared" si="73"/>
        <v>1.7755340100173407E-3</v>
      </c>
      <c r="E795" s="2">
        <f t="shared" ca="1" si="74"/>
        <v>0.64598975703885808</v>
      </c>
      <c r="F795">
        <f t="shared" ca="1" si="75"/>
        <v>0.64285220389183784</v>
      </c>
      <c r="G795" s="3">
        <f t="shared" ca="1" si="78"/>
        <v>1.9175677081520957</v>
      </c>
      <c r="H795">
        <f t="shared" ca="1" si="76"/>
        <v>0.33524354898077413</v>
      </c>
      <c r="I795">
        <f t="shared" ca="1" si="77"/>
        <v>0.88367324184725715</v>
      </c>
    </row>
    <row r="796" spans="1:9" x14ac:dyDescent="0.3">
      <c r="A796" s="1">
        <v>41334</v>
      </c>
      <c r="B796" t="s">
        <v>0</v>
      </c>
      <c r="C796">
        <v>401.59044089999998</v>
      </c>
      <c r="D796" s="2">
        <f t="shared" si="73"/>
        <v>6.2281681782461219E-3</v>
      </c>
      <c r="E796" s="2">
        <f t="shared" ca="1" si="74"/>
        <v>-3.9114783525602617</v>
      </c>
      <c r="F796">
        <f t="shared" ca="1" si="75"/>
        <v>-3.9196128533405843</v>
      </c>
      <c r="G796" s="3">
        <f t="shared" ca="1" si="78"/>
        <v>1.9104791942447408</v>
      </c>
      <c r="H796">
        <f t="shared" ca="1" si="76"/>
        <v>-2.0516385968234023</v>
      </c>
      <c r="I796">
        <f t="shared" ca="1" si="77"/>
        <v>-2.731988298887003</v>
      </c>
    </row>
    <row r="797" spans="1:9" x14ac:dyDescent="0.3">
      <c r="A797" s="1">
        <v>41337</v>
      </c>
      <c r="B797" t="s">
        <v>0</v>
      </c>
      <c r="C797">
        <v>409.21685780000001</v>
      </c>
      <c r="D797" s="2">
        <f t="shared" si="73"/>
        <v>1.8990533945251679E-2</v>
      </c>
      <c r="E797" s="2">
        <f t="shared" ca="1" si="74"/>
        <v>-4.8824047344586585</v>
      </c>
      <c r="F797">
        <f t="shared" ca="1" si="75"/>
        <v>-4.8853673781321163</v>
      </c>
      <c r="G797" s="3">
        <f t="shared" ca="1" si="78"/>
        <v>1.9291672931145543</v>
      </c>
      <c r="H797">
        <f t="shared" ca="1" si="76"/>
        <v>-2.5323710367517736</v>
      </c>
      <c r="I797">
        <f t="shared" ca="1" si="77"/>
        <v>-3.172504086569734</v>
      </c>
    </row>
    <row r="798" spans="1:9" x14ac:dyDescent="0.3">
      <c r="A798" s="1">
        <v>41338</v>
      </c>
      <c r="B798" t="s">
        <v>0</v>
      </c>
      <c r="C798">
        <v>417.73493889999997</v>
      </c>
      <c r="D798" s="2">
        <f t="shared" si="73"/>
        <v>2.0815567437261037E-2</v>
      </c>
      <c r="E798" s="2">
        <f t="shared" ca="1" si="74"/>
        <v>-2.0252938542728081</v>
      </c>
      <c r="F798">
        <f t="shared" ca="1" si="75"/>
        <v>-2.0348344349504406</v>
      </c>
      <c r="G798" s="3">
        <f t="shared" ca="1" si="78"/>
        <v>1.9609475642891239</v>
      </c>
      <c r="H798">
        <f t="shared" ca="1" si="76"/>
        <v>-1.037679166953198</v>
      </c>
      <c r="I798">
        <f t="shared" ca="1" si="77"/>
        <v>-1.4209335586446301</v>
      </c>
    </row>
    <row r="799" spans="1:9" x14ac:dyDescent="0.3">
      <c r="A799" s="1">
        <v>41339</v>
      </c>
      <c r="B799" t="s">
        <v>0</v>
      </c>
      <c r="C799">
        <v>414.1384056</v>
      </c>
      <c r="D799" s="2">
        <f t="shared" si="73"/>
        <v>-8.6096061523379952E-3</v>
      </c>
      <c r="E799" s="2">
        <f t="shared" ca="1" si="74"/>
        <v>-0.97242930602153455</v>
      </c>
      <c r="F799">
        <f t="shared" ca="1" si="75"/>
        <v>-0.99046113163245397</v>
      </c>
      <c r="G799" s="3">
        <f t="shared" ca="1" si="78"/>
        <v>1.959282844175916</v>
      </c>
      <c r="H799">
        <f t="shared" ca="1" si="76"/>
        <v>-0.50552228055109971</v>
      </c>
      <c r="I799">
        <f t="shared" ca="1" si="77"/>
        <v>1.9093749588233719E-2</v>
      </c>
    </row>
    <row r="800" spans="1:9" x14ac:dyDescent="0.3">
      <c r="A800" s="1">
        <v>41340</v>
      </c>
      <c r="B800" t="s">
        <v>0</v>
      </c>
      <c r="C800">
        <v>414.74613369999997</v>
      </c>
      <c r="D800" s="2">
        <f t="shared" si="73"/>
        <v>1.4674516822932742E-3</v>
      </c>
      <c r="E800" s="2">
        <f t="shared" ca="1" si="74"/>
        <v>-1.6955870539971598</v>
      </c>
      <c r="F800">
        <f t="shared" ca="1" si="75"/>
        <v>-1.7059817520898879</v>
      </c>
      <c r="G800" s="3">
        <f t="shared" ca="1" si="78"/>
        <v>1.9525939304625191</v>
      </c>
      <c r="H800">
        <f t="shared" ca="1" si="76"/>
        <v>-0.87370022280351189</v>
      </c>
      <c r="I800">
        <f t="shared" ca="1" si="77"/>
        <v>-1.0682822453083394</v>
      </c>
    </row>
    <row r="801" spans="1:9" x14ac:dyDescent="0.3">
      <c r="A801" s="1">
        <v>41341</v>
      </c>
      <c r="B801" t="s">
        <v>0</v>
      </c>
      <c r="C801">
        <v>414.20816860000002</v>
      </c>
      <c r="D801" s="2">
        <f t="shared" si="73"/>
        <v>-1.2970949124967125E-3</v>
      </c>
      <c r="E801" s="2">
        <f t="shared" ca="1" si="74"/>
        <v>0.41312632108465996</v>
      </c>
      <c r="F801">
        <f t="shared" ca="1" si="75"/>
        <v>0.41804995102697068</v>
      </c>
      <c r="G801" s="3">
        <f t="shared" ca="1" si="78"/>
        <v>1.949118490532753</v>
      </c>
      <c r="H801">
        <f t="shared" ca="1" si="76"/>
        <v>0.21448154797028526</v>
      </c>
      <c r="I801">
        <f t="shared" ca="1" si="77"/>
        <v>1.7442990801493816</v>
      </c>
    </row>
    <row r="802" spans="1:9" x14ac:dyDescent="0.3">
      <c r="A802" s="1">
        <v>41344</v>
      </c>
      <c r="B802" t="s">
        <v>0</v>
      </c>
      <c r="C802">
        <v>415.8520011</v>
      </c>
      <c r="D802" s="2">
        <f t="shared" si="73"/>
        <v>3.968614393955662E-3</v>
      </c>
      <c r="E802" s="2">
        <f t="shared" ca="1" si="74"/>
        <v>-5.389132277714764E-3</v>
      </c>
      <c r="F802">
        <f t="shared" ca="1" si="75"/>
        <v>-5.9161607182987011E-3</v>
      </c>
      <c r="G802" s="3">
        <f t="shared" ca="1" si="78"/>
        <v>1.9412539769335544</v>
      </c>
      <c r="H802">
        <f t="shared" ca="1" si="76"/>
        <v>-3.0475974749290626E-3</v>
      </c>
      <c r="I802">
        <f t="shared" ca="1" si="77"/>
        <v>9.8101502989337295</v>
      </c>
    </row>
    <row r="803" spans="1:9" x14ac:dyDescent="0.3">
      <c r="A803" s="1">
        <v>41345</v>
      </c>
      <c r="B803" t="s">
        <v>0</v>
      </c>
      <c r="C803">
        <v>412.2604422</v>
      </c>
      <c r="D803" s="2">
        <f t="shared" si="73"/>
        <v>-8.6366276716228485E-3</v>
      </c>
      <c r="E803" s="2">
        <f t="shared" ca="1" si="74"/>
        <v>-0.52230163366175208</v>
      </c>
      <c r="F803">
        <f t="shared" ca="1" si="75"/>
        <v>-0.52267724060230558</v>
      </c>
      <c r="G803" s="3">
        <f t="shared" ca="1" si="78"/>
        <v>1.9331925156530387</v>
      </c>
      <c r="H803">
        <f t="shared" ca="1" si="76"/>
        <v>-0.27036998972952442</v>
      </c>
      <c r="I803">
        <f t="shared" ca="1" si="77"/>
        <v>1.2973092355816902</v>
      </c>
    </row>
    <row r="804" spans="1:9" x14ac:dyDescent="0.3">
      <c r="A804" s="1">
        <v>41346</v>
      </c>
      <c r="B804" t="s">
        <v>0</v>
      </c>
      <c r="C804">
        <v>411.11474900000002</v>
      </c>
      <c r="D804" s="2">
        <f t="shared" si="73"/>
        <v>-2.7790519844350528E-3</v>
      </c>
      <c r="E804" s="2">
        <f t="shared" ca="1" si="74"/>
        <v>-1.7375233979385458</v>
      </c>
      <c r="F804">
        <f t="shared" ca="1" si="75"/>
        <v>-1.7374194971214973</v>
      </c>
      <c r="G804" s="3">
        <f t="shared" ca="1" si="78"/>
        <v>1.9256775346978505</v>
      </c>
      <c r="H804">
        <f t="shared" ca="1" si="76"/>
        <v>-0.9022380257419933</v>
      </c>
      <c r="I804">
        <f t="shared" ca="1" si="77"/>
        <v>-1.1048044880743468</v>
      </c>
    </row>
    <row r="805" spans="1:9" x14ac:dyDescent="0.3">
      <c r="A805" s="1">
        <v>41347</v>
      </c>
      <c r="B805" t="s">
        <v>0</v>
      </c>
      <c r="C805">
        <v>409.23678560000002</v>
      </c>
      <c r="D805" s="2">
        <f t="shared" si="73"/>
        <v>-4.5679786594082974E-3</v>
      </c>
      <c r="E805" s="2">
        <f t="shared" ca="1" si="74"/>
        <v>-2.2682368581061825</v>
      </c>
      <c r="F805">
        <f t="shared" ca="1" si="75"/>
        <v>-2.2620302413164186</v>
      </c>
      <c r="G805" s="3">
        <f t="shared" ca="1" si="78"/>
        <v>1.9228852946453452</v>
      </c>
      <c r="H805">
        <f t="shared" ca="1" si="76"/>
        <v>-1.176372947266012</v>
      </c>
      <c r="I805">
        <f t="shared" ca="1" si="77"/>
        <v>-1.6325295718120711</v>
      </c>
    </row>
    <row r="806" spans="1:9" x14ac:dyDescent="0.3">
      <c r="A806" s="1">
        <v>41348</v>
      </c>
      <c r="B806" t="s">
        <v>0</v>
      </c>
      <c r="C806">
        <v>405.63030350000002</v>
      </c>
      <c r="D806" s="2">
        <f t="shared" si="73"/>
        <v>-8.8127026379419236E-3</v>
      </c>
      <c r="E806" s="2">
        <f t="shared" ca="1" si="74"/>
        <v>-0.93933272606871387</v>
      </c>
      <c r="F806">
        <f t="shared" ca="1" si="75"/>
        <v>-0.93624020620578796</v>
      </c>
      <c r="G806" s="3">
        <f t="shared" ca="1" si="78"/>
        <v>1.9236951027754718</v>
      </c>
      <c r="H806">
        <f t="shared" ca="1" si="76"/>
        <v>-0.48668845954590095</v>
      </c>
      <c r="I806">
        <f t="shared" ca="1" si="77"/>
        <v>0.13167780770669915</v>
      </c>
    </row>
    <row r="807" spans="1:9" x14ac:dyDescent="0.3">
      <c r="A807" s="1">
        <v>41351</v>
      </c>
      <c r="B807" t="s">
        <v>0</v>
      </c>
      <c r="C807">
        <v>402.38743909999999</v>
      </c>
      <c r="D807" s="2">
        <f t="shared" si="73"/>
        <v>-7.9946305096508415E-3</v>
      </c>
      <c r="E807" s="2">
        <f t="shared" ca="1" si="74"/>
        <v>0.93140533754633714</v>
      </c>
      <c r="F807">
        <f t="shared" ca="1" si="75"/>
        <v>0.93687744613733015</v>
      </c>
      <c r="G807" s="3">
        <f t="shared" ca="1" si="78"/>
        <v>1.9173158184685366</v>
      </c>
      <c r="H807">
        <f t="shared" ca="1" si="76"/>
        <v>0.48864012757463432</v>
      </c>
      <c r="I807">
        <f t="shared" ca="1" si="77"/>
        <v>0.13033278161091183</v>
      </c>
    </row>
    <row r="808" spans="1:9" x14ac:dyDescent="0.3">
      <c r="A808" s="1">
        <v>41352</v>
      </c>
      <c r="B808" t="s">
        <v>0</v>
      </c>
      <c r="C808">
        <v>404.14586509999998</v>
      </c>
      <c r="D808" s="2">
        <f t="shared" si="73"/>
        <v>4.3699823332780221E-3</v>
      </c>
      <c r="E808" s="2">
        <f t="shared" ca="1" si="74"/>
        <v>0.71748714003885516</v>
      </c>
      <c r="F808">
        <f t="shared" ca="1" si="75"/>
        <v>0.72535850339743846</v>
      </c>
      <c r="G808" s="3">
        <f t="shared" ca="1" si="78"/>
        <v>1.9110252180532823</v>
      </c>
      <c r="H808">
        <f t="shared" ca="1" si="76"/>
        <v>0.3795651132936616</v>
      </c>
      <c r="I808">
        <f t="shared" ca="1" si="77"/>
        <v>0.64214222220528094</v>
      </c>
    </row>
    <row r="809" spans="1:9" x14ac:dyDescent="0.3">
      <c r="A809" s="1">
        <v>41353</v>
      </c>
      <c r="B809" t="s">
        <v>0</v>
      </c>
      <c r="C809">
        <v>405.8345276</v>
      </c>
      <c r="D809" s="2">
        <f t="shared" si="73"/>
        <v>4.1783490710270805E-3</v>
      </c>
      <c r="E809" s="2">
        <f t="shared" ca="1" si="74"/>
        <v>-1.1471863337872039</v>
      </c>
      <c r="F809">
        <f t="shared" ca="1" si="75"/>
        <v>-1.1435110814770557</v>
      </c>
      <c r="G809" s="3">
        <f t="shared" ca="1" si="78"/>
        <v>1.9042128751195095</v>
      </c>
      <c r="H809">
        <f t="shared" ca="1" si="76"/>
        <v>-0.60051641096339514</v>
      </c>
      <c r="I809">
        <f t="shared" ca="1" si="77"/>
        <v>-0.26822020200781577</v>
      </c>
    </row>
    <row r="810" spans="1:9" x14ac:dyDescent="0.3">
      <c r="A810" s="1">
        <v>41354</v>
      </c>
      <c r="B810" t="s">
        <v>0</v>
      </c>
      <c r="C810">
        <v>404.11595770000002</v>
      </c>
      <c r="D810" s="2">
        <f t="shared" si="73"/>
        <v>-4.2346566965683115E-3</v>
      </c>
      <c r="E810" s="2">
        <f t="shared" ca="1" si="74"/>
        <v>-0.74782717486227435</v>
      </c>
      <c r="F810">
        <f t="shared" ca="1" si="75"/>
        <v>-0.75179418772183981</v>
      </c>
      <c r="G810" s="3">
        <f t="shared" ca="1" si="78"/>
        <v>1.8988518988658896</v>
      </c>
      <c r="H810">
        <f t="shared" ca="1" si="76"/>
        <v>-0.39592039177508115</v>
      </c>
      <c r="I810">
        <f t="shared" ca="1" si="77"/>
        <v>0.57055363037026929</v>
      </c>
    </row>
    <row r="811" spans="1:9" x14ac:dyDescent="0.3">
      <c r="A811" s="1">
        <v>41355</v>
      </c>
      <c r="B811" t="s">
        <v>0</v>
      </c>
      <c r="C811">
        <v>403.64275140000001</v>
      </c>
      <c r="D811" s="2">
        <f t="shared" si="73"/>
        <v>-1.1709666272355056E-3</v>
      </c>
      <c r="E811" s="2">
        <f t="shared" ca="1" si="74"/>
        <v>-1.3844133623201367</v>
      </c>
      <c r="F811">
        <f t="shared" ca="1" si="75"/>
        <v>-1.385752578209003</v>
      </c>
      <c r="G811" s="3">
        <f t="shared" ca="1" si="78"/>
        <v>1.8922636438952316</v>
      </c>
      <c r="H811">
        <f t="shared" ca="1" si="76"/>
        <v>-0.73232531982510973</v>
      </c>
      <c r="I811">
        <f t="shared" ca="1" si="77"/>
        <v>-0.65248745369453554</v>
      </c>
    </row>
    <row r="812" spans="1:9" x14ac:dyDescent="0.3">
      <c r="A812" s="1">
        <v>41358</v>
      </c>
      <c r="B812" t="s">
        <v>0</v>
      </c>
      <c r="C812">
        <v>403.3089799</v>
      </c>
      <c r="D812" s="2">
        <f t="shared" si="73"/>
        <v>-8.2689828776152691E-4</v>
      </c>
      <c r="E812" s="2">
        <f t="shared" ca="1" si="74"/>
        <v>1.2924048747125749</v>
      </c>
      <c r="F812">
        <f t="shared" ca="1" si="75"/>
        <v>1.2953909232337617</v>
      </c>
      <c r="G812" s="3">
        <f t="shared" ca="1" si="78"/>
        <v>1.8881710499419013</v>
      </c>
      <c r="H812">
        <f t="shared" ca="1" si="76"/>
        <v>0.68605591811908173</v>
      </c>
      <c r="I812">
        <f t="shared" ca="1" si="77"/>
        <v>-0.51762544911748953</v>
      </c>
    </row>
    <row r="813" spans="1:9" x14ac:dyDescent="0.3">
      <c r="A813" s="1">
        <v>41359</v>
      </c>
      <c r="B813" t="s">
        <v>0</v>
      </c>
      <c r="C813">
        <v>404.6938093</v>
      </c>
      <c r="D813" s="2">
        <f t="shared" si="73"/>
        <v>3.4336686486459286E-3</v>
      </c>
      <c r="E813" s="2">
        <f t="shared" ca="1" si="74"/>
        <v>-3.4791767043003978</v>
      </c>
      <c r="F813">
        <f t="shared" ca="1" si="75"/>
        <v>-3.4782009947562194</v>
      </c>
      <c r="G813" s="3">
        <f t="shared" ca="1" si="78"/>
        <v>1.8837136595891411</v>
      </c>
      <c r="H813">
        <f t="shared" ca="1" si="76"/>
        <v>-1.8464595067569101</v>
      </c>
      <c r="I813">
        <f t="shared" ca="1" si="77"/>
        <v>-2.4930313837353486</v>
      </c>
    </row>
    <row r="814" spans="1:9" x14ac:dyDescent="0.3">
      <c r="A814" s="1">
        <v>41360</v>
      </c>
      <c r="B814" t="s">
        <v>0</v>
      </c>
      <c r="C814">
        <v>399.83201489999999</v>
      </c>
      <c r="D814" s="2">
        <f t="shared" si="73"/>
        <v>-1.201351315061989E-2</v>
      </c>
      <c r="E814" s="2">
        <f t="shared" ca="1" si="74"/>
        <v>1.9022358945881364</v>
      </c>
      <c r="F814">
        <f t="shared" ca="1" si="75"/>
        <v>1.9017270000959106</v>
      </c>
      <c r="G814" s="3">
        <f t="shared" ca="1" si="78"/>
        <v>1.8980148150225891</v>
      </c>
      <c r="H814">
        <f t="shared" ca="1" si="76"/>
        <v>1.0019558251305205</v>
      </c>
      <c r="I814">
        <f t="shared" ca="1" si="77"/>
        <v>-1.2855647480040553</v>
      </c>
    </row>
    <row r="815" spans="1:9" x14ac:dyDescent="0.3">
      <c r="A815" s="1">
        <v>41361</v>
      </c>
      <c r="B815" t="s">
        <v>0</v>
      </c>
      <c r="C815">
        <v>395.61283049999997</v>
      </c>
      <c r="D815" s="2">
        <f t="shared" si="73"/>
        <v>-1.0552392611820383E-2</v>
      </c>
      <c r="E815" s="2">
        <f t="shared" ca="1" si="74"/>
        <v>0.6264589676553638</v>
      </c>
      <c r="F815">
        <f t="shared" ca="1" si="75"/>
        <v>0.62790284796803553</v>
      </c>
      <c r="G815" s="3">
        <f t="shared" ca="1" si="78"/>
        <v>1.896811886230644</v>
      </c>
      <c r="H815">
        <f t="shared" ca="1" si="76"/>
        <v>0.33103063752716555</v>
      </c>
      <c r="I815">
        <f t="shared" ca="1" si="77"/>
        <v>0.93045721633847633</v>
      </c>
    </row>
    <row r="816" spans="1:9" x14ac:dyDescent="0.3">
      <c r="A816" s="1">
        <v>41365</v>
      </c>
      <c r="B816" t="s">
        <v>0</v>
      </c>
      <c r="C816">
        <v>399.09977509999999</v>
      </c>
      <c r="D816" s="2">
        <f t="shared" si="73"/>
        <v>8.8140331434473414E-3</v>
      </c>
      <c r="E816" s="2">
        <f t="shared" ca="1" si="74"/>
        <v>-0.90636243587031817</v>
      </c>
      <c r="F816">
        <f t="shared" ca="1" si="75"/>
        <v>-0.89573530211144914</v>
      </c>
      <c r="G816" s="3">
        <f t="shared" ca="1" si="78"/>
        <v>1.8899478821577096</v>
      </c>
      <c r="H816">
        <f t="shared" ca="1" si="76"/>
        <v>-0.47394709164615106</v>
      </c>
      <c r="I816">
        <f t="shared" ca="1" si="77"/>
        <v>0.22012383725582585</v>
      </c>
    </row>
    <row r="817" spans="1:9" x14ac:dyDescent="0.3">
      <c r="A817" s="1">
        <v>41366</v>
      </c>
      <c r="B817" t="s">
        <v>0</v>
      </c>
      <c r="C817">
        <v>405.00264759999999</v>
      </c>
      <c r="D817" s="2">
        <f t="shared" si="73"/>
        <v>1.4790468119208923E-2</v>
      </c>
      <c r="E817" s="2">
        <f t="shared" ca="1" si="74"/>
        <v>0.70234352015189261</v>
      </c>
      <c r="F817">
        <f t="shared" ca="1" si="75"/>
        <v>0.70628642010891207</v>
      </c>
      <c r="G817" s="3">
        <f t="shared" ca="1" si="78"/>
        <v>1.8838984455989176</v>
      </c>
      <c r="H817">
        <f t="shared" ca="1" si="76"/>
        <v>0.37490684370960015</v>
      </c>
      <c r="I817">
        <f t="shared" ca="1" si="77"/>
        <v>0.69503032626486261</v>
      </c>
    </row>
    <row r="818" spans="1:9" x14ac:dyDescent="0.3">
      <c r="A818" s="1">
        <v>41367</v>
      </c>
      <c r="B818" t="s">
        <v>0</v>
      </c>
      <c r="C818">
        <v>401.59541530000001</v>
      </c>
      <c r="D818" s="2">
        <f t="shared" si="73"/>
        <v>-8.4128642619766807E-3</v>
      </c>
      <c r="E818" s="2">
        <f t="shared" ca="1" si="74"/>
        <v>2.7970009016162916</v>
      </c>
      <c r="F818">
        <f t="shared" ca="1" si="75"/>
        <v>2.7871024258414998</v>
      </c>
      <c r="G818" s="3">
        <f t="shared" ca="1" si="78"/>
        <v>1.8773843225872233</v>
      </c>
      <c r="H818">
        <f t="shared" ca="1" si="76"/>
        <v>1.4845667945072611</v>
      </c>
      <c r="I818">
        <f t="shared" ca="1" si="77"/>
        <v>-2.0500141095590183</v>
      </c>
    </row>
    <row r="819" spans="1:9" x14ac:dyDescent="0.3">
      <c r="A819" s="1">
        <v>41368</v>
      </c>
      <c r="B819" t="s">
        <v>0</v>
      </c>
      <c r="C819">
        <v>396.05118590000001</v>
      </c>
      <c r="D819" s="2">
        <f t="shared" si="73"/>
        <v>-1.380550969651472E-2</v>
      </c>
      <c r="E819" s="2">
        <f t="shared" ca="1" si="74"/>
        <v>1.2577294531399381</v>
      </c>
      <c r="F819">
        <f t="shared" ca="1" si="75"/>
        <v>1.2510279028635316</v>
      </c>
      <c r="G819" s="3">
        <f t="shared" ca="1" si="78"/>
        <v>1.8841557204115817</v>
      </c>
      <c r="H819">
        <f t="shared" ca="1" si="76"/>
        <v>0.66397266919649967</v>
      </c>
      <c r="I819">
        <f t="shared" ca="1" si="77"/>
        <v>-0.44805284994448313</v>
      </c>
    </row>
    <row r="820" spans="1:9" x14ac:dyDescent="0.3">
      <c r="A820" s="1">
        <v>41369</v>
      </c>
      <c r="B820" t="s">
        <v>0</v>
      </c>
      <c r="C820">
        <v>390.06362680000001</v>
      </c>
      <c r="D820" s="2">
        <f t="shared" si="73"/>
        <v>-1.5118144606469663E-2</v>
      </c>
      <c r="E820" s="2">
        <f t="shared" ca="1" si="74"/>
        <v>-2.8737913883820552</v>
      </c>
      <c r="F820">
        <f t="shared" ca="1" si="75"/>
        <v>-2.8644363997070155</v>
      </c>
      <c r="G820" s="3">
        <f t="shared" ca="1" si="78"/>
        <v>1.8795597770083416</v>
      </c>
      <c r="H820">
        <f t="shared" ca="1" si="76"/>
        <v>-1.5239932428572622</v>
      </c>
      <c r="I820">
        <f t="shared" ca="1" si="77"/>
        <v>-2.1047710793715901</v>
      </c>
    </row>
    <row r="821" spans="1:9" x14ac:dyDescent="0.3">
      <c r="A821" s="1">
        <v>41372</v>
      </c>
      <c r="B821" t="s">
        <v>0</v>
      </c>
      <c r="C821">
        <v>385.97893319999997</v>
      </c>
      <c r="D821" s="2">
        <f t="shared" si="73"/>
        <v>-1.0471864894222525E-2</v>
      </c>
      <c r="E821" s="2">
        <f t="shared" ca="1" si="74"/>
        <v>1.2899955769472535</v>
      </c>
      <c r="F821">
        <f t="shared" ca="1" si="75"/>
        <v>1.3030999304925319</v>
      </c>
      <c r="G821" s="3">
        <f t="shared" ca="1" si="78"/>
        <v>1.8870458664941339</v>
      </c>
      <c r="H821">
        <f t="shared" ca="1" si="76"/>
        <v>0.69055021588505872</v>
      </c>
      <c r="I821">
        <f t="shared" ca="1" si="77"/>
        <v>-0.5295565548508514</v>
      </c>
    </row>
    <row r="822" spans="1:9" x14ac:dyDescent="0.3">
      <c r="A822" s="1">
        <v>41373</v>
      </c>
      <c r="B822" t="s">
        <v>0</v>
      </c>
      <c r="C822">
        <v>387.37368029999999</v>
      </c>
      <c r="D822" s="2">
        <f t="shared" si="73"/>
        <v>3.613531672406876E-3</v>
      </c>
      <c r="E822" s="2">
        <f t="shared" ca="1" si="74"/>
        <v>-5.0774679941799787</v>
      </c>
      <c r="F822">
        <f t="shared" ca="1" si="75"/>
        <v>-5.0649316272483338</v>
      </c>
      <c r="G822" s="3">
        <f t="shared" ca="1" si="78"/>
        <v>1.8826425554982971</v>
      </c>
      <c r="H822">
        <f t="shared" ca="1" si="76"/>
        <v>-2.6903309990821649</v>
      </c>
      <c r="I822">
        <f t="shared" ca="1" si="77"/>
        <v>-3.2446817860925905</v>
      </c>
    </row>
    <row r="823" spans="1:9" x14ac:dyDescent="0.3">
      <c r="A823" s="1">
        <v>41374</v>
      </c>
      <c r="B823" t="s">
        <v>0</v>
      </c>
      <c r="C823">
        <v>393.61529869999998</v>
      </c>
      <c r="D823" s="2">
        <f t="shared" si="73"/>
        <v>1.6112654827674912E-2</v>
      </c>
      <c r="E823" s="2">
        <f t="shared" ca="1" si="74"/>
        <v>-0.26326531410052789</v>
      </c>
      <c r="F823">
        <f t="shared" ca="1" si="75"/>
        <v>-0.2578219486750884</v>
      </c>
      <c r="G823" s="3">
        <f t="shared" ca="1" si="78"/>
        <v>1.9210708149412252</v>
      </c>
      <c r="H823">
        <f t="shared" ca="1" si="76"/>
        <v>-0.1342074152966487</v>
      </c>
      <c r="I823">
        <f t="shared" ca="1" si="77"/>
        <v>2.7070664474361115</v>
      </c>
    </row>
    <row r="824" spans="1:9" x14ac:dyDescent="0.3">
      <c r="A824" s="1">
        <v>41375</v>
      </c>
      <c r="B824" t="s">
        <v>0</v>
      </c>
      <c r="C824">
        <v>393.71991359999998</v>
      </c>
      <c r="D824" s="2">
        <f t="shared" si="73"/>
        <v>2.6577955771921169E-4</v>
      </c>
      <c r="E824" s="2">
        <f t="shared" ca="1" si="74"/>
        <v>-0.88044051813994528</v>
      </c>
      <c r="F824">
        <f t="shared" ca="1" si="75"/>
        <v>-0.88749488920470554</v>
      </c>
      <c r="G824" s="3">
        <f t="shared" ca="1" si="78"/>
        <v>1.9133488445585054</v>
      </c>
      <c r="H824">
        <f t="shared" ca="1" si="76"/>
        <v>-0.463843742728206</v>
      </c>
      <c r="I824">
        <f t="shared" ca="1" si="77"/>
        <v>0.23870494290019675</v>
      </c>
    </row>
    <row r="825" spans="1:9" x14ac:dyDescent="0.3">
      <c r="A825" s="1">
        <v>41376</v>
      </c>
      <c r="B825" t="s">
        <v>0</v>
      </c>
      <c r="C825">
        <v>393.55054050000001</v>
      </c>
      <c r="D825" s="2">
        <f t="shared" si="73"/>
        <v>-4.3018677529236605E-4</v>
      </c>
      <c r="E825" s="2">
        <f t="shared" ca="1" si="74"/>
        <v>-1.8617294250226843</v>
      </c>
      <c r="F825">
        <f t="shared" ca="1" si="75"/>
        <v>-1.8718419682541689</v>
      </c>
      <c r="G825" s="3">
        <f t="shared" ca="1" si="78"/>
        <v>1.9069572182384076</v>
      </c>
      <c r="H825">
        <f t="shared" ca="1" si="76"/>
        <v>-0.98158571694824015</v>
      </c>
      <c r="I825">
        <f t="shared" ca="1" si="77"/>
        <v>-1.2538459644658442</v>
      </c>
    </row>
    <row r="826" spans="1:9" x14ac:dyDescent="0.3">
      <c r="A826" s="1">
        <v>41379</v>
      </c>
      <c r="B826" t="s">
        <v>0</v>
      </c>
      <c r="C826">
        <v>389.50570349999998</v>
      </c>
      <c r="D826" s="2">
        <f t="shared" si="73"/>
        <v>-1.0277808270473025E-2</v>
      </c>
      <c r="E826" s="2">
        <f t="shared" ca="1" si="74"/>
        <v>-1.6766419179330954</v>
      </c>
      <c r="F826">
        <f t="shared" ca="1" si="75"/>
        <v>-1.6766791511566286</v>
      </c>
      <c r="G826" s="3">
        <f t="shared" ca="1" si="78"/>
        <v>1.9053686125469842</v>
      </c>
      <c r="H826">
        <f t="shared" ca="1" si="76"/>
        <v>-0.87997626292129527</v>
      </c>
      <c r="I826">
        <f t="shared" ca="1" si="77"/>
        <v>-1.0336678580495959</v>
      </c>
    </row>
    <row r="827" spans="1:9" x14ac:dyDescent="0.3">
      <c r="A827" s="1">
        <v>41380</v>
      </c>
      <c r="B827" t="s">
        <v>0</v>
      </c>
      <c r="C827">
        <v>395.20435209999999</v>
      </c>
      <c r="D827" s="2">
        <f t="shared" si="73"/>
        <v>1.4630462529286205E-2</v>
      </c>
      <c r="E827" s="2">
        <f t="shared" ca="1" si="74"/>
        <v>-0.46364408831189635</v>
      </c>
      <c r="F827">
        <f t="shared" ca="1" si="75"/>
        <v>-0.46031172519657193</v>
      </c>
      <c r="G827" s="3">
        <f t="shared" ca="1" si="78"/>
        <v>1.902608518777908</v>
      </c>
      <c r="H827">
        <f t="shared" ca="1" si="76"/>
        <v>-0.24193717238911627</v>
      </c>
      <c r="I827">
        <f t="shared" ca="1" si="77"/>
        <v>1.5506925002066201</v>
      </c>
    </row>
    <row r="828" spans="1:9" x14ac:dyDescent="0.3">
      <c r="A828" s="1">
        <v>41381</v>
      </c>
      <c r="B828" t="s">
        <v>0</v>
      </c>
      <c r="C828">
        <v>389.81954660000002</v>
      </c>
      <c r="D828" s="2">
        <f t="shared" si="73"/>
        <v>-1.3625369941871069E-2</v>
      </c>
      <c r="E828" s="2">
        <f t="shared" ca="1" si="74"/>
        <v>0.91978327656310843</v>
      </c>
      <c r="F828">
        <f t="shared" ca="1" si="75"/>
        <v>0.92182093552721622</v>
      </c>
      <c r="G828" s="3">
        <f t="shared" ca="1" si="78"/>
        <v>1.8953530326055181</v>
      </c>
      <c r="H828">
        <f t="shared" ca="1" si="76"/>
        <v>0.48635843543089202</v>
      </c>
      <c r="I828">
        <f t="shared" ca="1" si="77"/>
        <v>0.16259009889625475</v>
      </c>
    </row>
    <row r="829" spans="1:9" x14ac:dyDescent="0.3">
      <c r="A829" s="1">
        <v>41382</v>
      </c>
      <c r="B829" t="s">
        <v>0</v>
      </c>
      <c r="C829">
        <v>381.52561780000002</v>
      </c>
      <c r="D829" s="2">
        <f t="shared" si="73"/>
        <v>-2.1276328681666994E-2</v>
      </c>
      <c r="E829" s="2">
        <f t="shared" ca="1" si="74"/>
        <v>-0.98259066922454352</v>
      </c>
      <c r="F829">
        <f t="shared" ca="1" si="75"/>
        <v>-0.98763839549602572</v>
      </c>
      <c r="G829" s="3">
        <f t="shared" ca="1" si="78"/>
        <v>1.8893139458679369</v>
      </c>
      <c r="H829">
        <f t="shared" ca="1" si="76"/>
        <v>-0.52274975138783086</v>
      </c>
      <c r="I829">
        <f t="shared" ca="1" si="77"/>
        <v>2.4413204463644381E-2</v>
      </c>
    </row>
    <row r="830" spans="1:9" x14ac:dyDescent="0.3">
      <c r="A830" s="1">
        <v>41383</v>
      </c>
      <c r="B830" t="s">
        <v>0</v>
      </c>
      <c r="C830">
        <v>398.4422118</v>
      </c>
      <c r="D830" s="2">
        <f t="shared" si="73"/>
        <v>4.4339339773686814E-2</v>
      </c>
      <c r="E830" s="2">
        <f t="shared" ca="1" si="74"/>
        <v>-0.81381402898847099</v>
      </c>
      <c r="F830">
        <f t="shared" ca="1" si="75"/>
        <v>-0.79898569020570875</v>
      </c>
      <c r="G830" s="3">
        <f t="shared" ca="1" si="78"/>
        <v>1.8835825885044524</v>
      </c>
      <c r="H830">
        <f t="shared" ca="1" si="76"/>
        <v>-0.42418404963070733</v>
      </c>
      <c r="I830">
        <f t="shared" ca="1" si="77"/>
        <v>0.44574484253851188</v>
      </c>
    </row>
    <row r="831" spans="1:9" x14ac:dyDescent="0.3">
      <c r="A831" s="1">
        <v>41386</v>
      </c>
      <c r="B831" t="s">
        <v>0</v>
      </c>
      <c r="C831">
        <v>398.56177960000002</v>
      </c>
      <c r="D831" s="2">
        <f t="shared" si="73"/>
        <v>3.0008818458232214E-4</v>
      </c>
      <c r="E831" s="2">
        <f t="shared" ca="1" si="74"/>
        <v>0.75560273830007163</v>
      </c>
      <c r="F831">
        <f t="shared" ca="1" si="75"/>
        <v>0.75563097913184596</v>
      </c>
      <c r="G831" s="3">
        <f t="shared" ca="1" si="78"/>
        <v>1.8773243218273734</v>
      </c>
      <c r="H831">
        <f t="shared" ca="1" si="76"/>
        <v>0.40250422920868595</v>
      </c>
      <c r="I831">
        <f t="shared" ca="1" si="77"/>
        <v>0.56040413191270821</v>
      </c>
    </row>
    <row r="832" spans="1:9" x14ac:dyDescent="0.3">
      <c r="A832" s="1">
        <v>41387</v>
      </c>
      <c r="B832" t="s">
        <v>0</v>
      </c>
      <c r="C832">
        <v>402.44224919999999</v>
      </c>
      <c r="D832" s="2">
        <f t="shared" si="73"/>
        <v>9.7361809350972935E-3</v>
      </c>
      <c r="E832" s="2">
        <f t="shared" ca="1" si="74"/>
        <v>-1.4320205560445898</v>
      </c>
      <c r="F832">
        <f t="shared" ca="1" si="75"/>
        <v>-1.459719992426155</v>
      </c>
      <c r="G832" s="3">
        <f t="shared" ca="1" si="78"/>
        <v>1.8710261513741382</v>
      </c>
      <c r="H832">
        <f t="shared" ca="1" si="76"/>
        <v>-0.78017081233957764</v>
      </c>
      <c r="I832">
        <f t="shared" ca="1" si="77"/>
        <v>-0.7565337501512216</v>
      </c>
    </row>
    <row r="833" spans="1:9" x14ac:dyDescent="0.3">
      <c r="A833" s="1">
        <v>41388</v>
      </c>
      <c r="B833" t="s">
        <v>0</v>
      </c>
      <c r="C833">
        <v>405.20687170000002</v>
      </c>
      <c r="D833" s="2">
        <f t="shared" si="73"/>
        <v>6.8696129829701538E-3</v>
      </c>
      <c r="E833" s="2">
        <f t="shared" ca="1" si="74"/>
        <v>-1.0583795053248845E-2</v>
      </c>
      <c r="F833">
        <f t="shared" ca="1" si="75"/>
        <v>-1.3673651652689821E-2</v>
      </c>
      <c r="G833" s="3">
        <f t="shared" ca="1" si="78"/>
        <v>1.8676799372267194</v>
      </c>
      <c r="H833">
        <f t="shared" ca="1" si="76"/>
        <v>-7.3211964106620715E-3</v>
      </c>
      <c r="I833">
        <f t="shared" ca="1" si="77"/>
        <v>8.3321654856188463</v>
      </c>
    </row>
    <row r="834" spans="1:9" x14ac:dyDescent="0.3">
      <c r="A834" s="1">
        <v>41389</v>
      </c>
      <c r="B834" t="s">
        <v>0</v>
      </c>
      <c r="C834">
        <v>403.03999759999999</v>
      </c>
      <c r="D834" s="2">
        <f t="shared" si="73"/>
        <v>-5.3475749088586584E-3</v>
      </c>
      <c r="E834" s="2">
        <f t="shared" ca="1" si="74"/>
        <v>4.2963222970799295</v>
      </c>
      <c r="F834">
        <f t="shared" ca="1" si="75"/>
        <v>4.2882113281817791</v>
      </c>
      <c r="G834" s="3">
        <f t="shared" ca="1" si="78"/>
        <v>1.8604515017489411</v>
      </c>
      <c r="H834">
        <f t="shared" ca="1" si="76"/>
        <v>2.3049304559407173</v>
      </c>
      <c r="I834">
        <f t="shared" ca="1" si="77"/>
        <v>-2.9117409674681731</v>
      </c>
    </row>
    <row r="835" spans="1:9" x14ac:dyDescent="0.3">
      <c r="A835" s="1">
        <v>41390</v>
      </c>
      <c r="B835" t="s">
        <v>0</v>
      </c>
      <c r="C835">
        <v>399.21433819999999</v>
      </c>
      <c r="D835" s="2">
        <f t="shared" si="73"/>
        <v>-9.4920092863756168E-3</v>
      </c>
      <c r="E835" s="2">
        <f t="shared" ca="1" si="74"/>
        <v>-1.5504935172970382</v>
      </c>
      <c r="F835">
        <f t="shared" ca="1" si="75"/>
        <v>-1.5531767405874686</v>
      </c>
      <c r="G835" s="3">
        <f t="shared" ca="1" si="78"/>
        <v>1.8874437728502438</v>
      </c>
      <c r="H835">
        <f t="shared" ca="1" si="76"/>
        <v>-0.82289960788712879</v>
      </c>
      <c r="I835">
        <f t="shared" ca="1" si="77"/>
        <v>-0.88064203583357759</v>
      </c>
    </row>
    <row r="836" spans="1:9" x14ac:dyDescent="0.3">
      <c r="A836" s="1">
        <v>41393</v>
      </c>
      <c r="B836" t="s">
        <v>0</v>
      </c>
      <c r="C836">
        <v>408.00140160000001</v>
      </c>
      <c r="D836" s="2">
        <f t="shared" ref="D836:D899" si="79">(C836-C835)/C835</f>
        <v>2.2010891291178634E-2</v>
      </c>
      <c r="E836" s="2">
        <f t="shared" ca="1" si="74"/>
        <v>1.4981765094912565</v>
      </c>
      <c r="F836">
        <f t="shared" ca="1" si="75"/>
        <v>1.5043366158584359</v>
      </c>
      <c r="G836" s="3">
        <f t="shared" ca="1" si="78"/>
        <v>1.8843133124349196</v>
      </c>
      <c r="H836">
        <f t="shared" ca="1" si="76"/>
        <v>0.79834739049554571</v>
      </c>
      <c r="I836">
        <f t="shared" ca="1" si="77"/>
        <v>-0.81691811293160488</v>
      </c>
    </row>
    <row r="837" spans="1:9" x14ac:dyDescent="0.3">
      <c r="A837" s="1">
        <v>41394</v>
      </c>
      <c r="B837" t="s">
        <v>0</v>
      </c>
      <c r="C837">
        <v>410.74612669999999</v>
      </c>
      <c r="D837" s="2">
        <f t="shared" si="79"/>
        <v>6.7272442918979974E-3</v>
      </c>
      <c r="E837" s="2">
        <f t="shared" ca="1" si="74"/>
        <v>-3.0157640623560611</v>
      </c>
      <c r="F837">
        <f t="shared" ca="1" si="75"/>
        <v>-3.0164163066177228</v>
      </c>
      <c r="G837" s="3">
        <f t="shared" ca="1" si="78"/>
        <v>1.8809712976266952</v>
      </c>
      <c r="H837">
        <f t="shared" ca="1" si="76"/>
        <v>-1.6036482377076506</v>
      </c>
      <c r="I837">
        <f t="shared" ca="1" si="77"/>
        <v>-2.2081439204768269</v>
      </c>
    </row>
    <row r="838" spans="1:9" x14ac:dyDescent="0.3">
      <c r="A838" s="1">
        <v>41395</v>
      </c>
      <c r="B838" t="s">
        <v>0</v>
      </c>
      <c r="C838">
        <v>408.68386700000002</v>
      </c>
      <c r="D838" s="2">
        <f t="shared" si="79"/>
        <v>-5.0207648129721736E-3</v>
      </c>
      <c r="E838" s="2">
        <f t="shared" ref="E838:E901" ca="1" si="80">$N$9*D837+$N$10*D836+F838</f>
        <v>-2.1532118399429083</v>
      </c>
      <c r="F838">
        <f t="shared" ref="F838:F901" ca="1" si="81">G838*H838</f>
        <v>-2.1689237810216664</v>
      </c>
      <c r="G838" s="3">
        <f t="shared" ca="1" si="78"/>
        <v>1.8900151968615762</v>
      </c>
      <c r="H838">
        <f t="shared" ref="H838:H901" ca="1" si="82">_xlfn.NORM.S.INV(RAND())</f>
        <v>-1.1475694928925577</v>
      </c>
      <c r="I838">
        <f t="shared" ref="I838:I901" ca="1" si="83">-LN(F838^2)-(D838^2)/(F838^2)</f>
        <v>-1.5484675407590571</v>
      </c>
    </row>
    <row r="839" spans="1:9" x14ac:dyDescent="0.3">
      <c r="A839" s="1">
        <v>41396</v>
      </c>
      <c r="B839" t="s">
        <v>0</v>
      </c>
      <c r="C839">
        <v>413.25672040000001</v>
      </c>
      <c r="D839" s="2">
        <f t="shared" si="79"/>
        <v>1.1189219270062317E-2</v>
      </c>
      <c r="E839" s="2">
        <f t="shared" ca="1" si="80"/>
        <v>1.6338423609422201</v>
      </c>
      <c r="F839">
        <f t="shared" ca="1" si="81"/>
        <v>1.6311503466893587</v>
      </c>
      <c r="G839" s="3">
        <f t="shared" ref="G839:G902" ca="1" si="84">SQRT($N$6+$N$7*(H838^2)+$N$8*(G838^2))</f>
        <v>1.8909202541277967</v>
      </c>
      <c r="H839">
        <f t="shared" ca="1" si="82"/>
        <v>0.86262249459152407</v>
      </c>
      <c r="I839">
        <f t="shared" ca="1" si="83"/>
        <v>-0.97861805577040706</v>
      </c>
    </row>
    <row r="840" spans="1:9" x14ac:dyDescent="0.3">
      <c r="A840" s="1">
        <v>41397</v>
      </c>
      <c r="B840" t="s">
        <v>0</v>
      </c>
      <c r="C840">
        <v>421.2816674</v>
      </c>
      <c r="D840" s="2">
        <f t="shared" si="79"/>
        <v>1.9418793703421155E-2</v>
      </c>
      <c r="E840" s="2">
        <f t="shared" ca="1" si="80"/>
        <v>-2.6489696849306776</v>
      </c>
      <c r="F840">
        <f t="shared" ca="1" si="81"/>
        <v>-2.6491795097548252</v>
      </c>
      <c r="G840" s="3">
        <f t="shared" ca="1" si="84"/>
        <v>1.8881685949992941</v>
      </c>
      <c r="H840">
        <f t="shared" ca="1" si="82"/>
        <v>-1.4030418241098939</v>
      </c>
      <c r="I840">
        <f t="shared" ca="1" si="83"/>
        <v>-1.9485536767955323</v>
      </c>
    </row>
    <row r="841" spans="1:9" x14ac:dyDescent="0.3">
      <c r="A841" s="1">
        <v>41400</v>
      </c>
      <c r="B841" t="s">
        <v>0</v>
      </c>
      <c r="C841">
        <v>429.16711780000003</v>
      </c>
      <c r="D841" s="2">
        <f t="shared" si="79"/>
        <v>1.8717762984243318E-2</v>
      </c>
      <c r="E841" s="2">
        <f t="shared" ca="1" si="80"/>
        <v>4.8074289558840926</v>
      </c>
      <c r="F841">
        <f t="shared" ca="1" si="81"/>
        <v>4.7946714528149377</v>
      </c>
      <c r="G841" s="3">
        <f t="shared" ca="1" si="84"/>
        <v>1.8932438039333739</v>
      </c>
      <c r="H841">
        <f t="shared" ca="1" si="82"/>
        <v>2.5325166483331958</v>
      </c>
      <c r="I841">
        <f t="shared" ca="1" si="83"/>
        <v>-3.1350256147509996</v>
      </c>
    </row>
    <row r="842" spans="1:9" x14ac:dyDescent="0.3">
      <c r="A842" s="1">
        <v>41401</v>
      </c>
      <c r="B842" t="s">
        <v>0</v>
      </c>
      <c r="C842">
        <v>427.01516679999997</v>
      </c>
      <c r="D842" s="2">
        <f t="shared" si="79"/>
        <v>-5.0142494863805089E-3</v>
      </c>
      <c r="E842" s="2">
        <f t="shared" ca="1" si="80"/>
        <v>1.1837783266726234</v>
      </c>
      <c r="F842">
        <f t="shared" ca="1" si="81"/>
        <v>1.1661053179134704</v>
      </c>
      <c r="G842" s="3">
        <f t="shared" ca="1" si="84"/>
        <v>1.9261666314435617</v>
      </c>
      <c r="H842">
        <f t="shared" ca="1" si="82"/>
        <v>0.60540209703432313</v>
      </c>
      <c r="I842">
        <f t="shared" ca="1" si="83"/>
        <v>-0.30735730589579147</v>
      </c>
    </row>
    <row r="843" spans="1:9" x14ac:dyDescent="0.3">
      <c r="A843" s="1">
        <v>41402</v>
      </c>
      <c r="B843" t="s">
        <v>0</v>
      </c>
      <c r="C843">
        <v>435.18458429999998</v>
      </c>
      <c r="D843" s="2">
        <f t="shared" si="79"/>
        <v>1.9131445754539903E-2</v>
      </c>
      <c r="E843" s="2">
        <f t="shared" ca="1" si="80"/>
        <v>1.8269823784795123</v>
      </c>
      <c r="F843">
        <f t="shared" ca="1" si="81"/>
        <v>1.8168219651878503</v>
      </c>
      <c r="G843" s="3">
        <f t="shared" ca="1" si="84"/>
        <v>1.9205691472271287</v>
      </c>
      <c r="H843">
        <f t="shared" ca="1" si="82"/>
        <v>0.94598102224589731</v>
      </c>
      <c r="I843">
        <f t="shared" ca="1" si="83"/>
        <v>-1.1942884880545459</v>
      </c>
    </row>
    <row r="844" spans="1:9" x14ac:dyDescent="0.3">
      <c r="A844" s="1">
        <v>41403</v>
      </c>
      <c r="B844" t="s">
        <v>0</v>
      </c>
      <c r="C844">
        <v>434.1135678</v>
      </c>
      <c r="D844" s="2">
        <f t="shared" si="79"/>
        <v>-2.4610625896198243E-3</v>
      </c>
      <c r="E844" s="2">
        <f t="shared" ca="1" si="80"/>
        <v>1.9323466154570492</v>
      </c>
      <c r="F844">
        <f t="shared" ca="1" si="81"/>
        <v>1.9297646361017817</v>
      </c>
      <c r="G844" s="3">
        <f t="shared" ca="1" si="84"/>
        <v>1.9183543529670524</v>
      </c>
      <c r="H844">
        <f t="shared" ca="1" si="82"/>
        <v>1.0059479538371425</v>
      </c>
      <c r="I844">
        <f t="shared" ca="1" si="83"/>
        <v>-1.3147977169825622</v>
      </c>
    </row>
    <row r="845" spans="1:9" x14ac:dyDescent="0.3">
      <c r="A845" s="1">
        <v>41404</v>
      </c>
      <c r="B845" t="s">
        <v>0</v>
      </c>
      <c r="C845">
        <v>438.47224840000001</v>
      </c>
      <c r="D845" s="2">
        <f t="shared" si="79"/>
        <v>1.0040415511749444E-2</v>
      </c>
      <c r="E845" s="2">
        <f t="shared" ca="1" si="80"/>
        <v>-0.17507061350026293</v>
      </c>
      <c r="F845">
        <f t="shared" ca="1" si="81"/>
        <v>-0.18624989778279191</v>
      </c>
      <c r="G845" s="3">
        <f t="shared" ca="1" si="84"/>
        <v>1.91690494009061</v>
      </c>
      <c r="H845">
        <f t="shared" ca="1" si="82"/>
        <v>-9.7161780893521038E-2</v>
      </c>
      <c r="I845">
        <f t="shared" ca="1" si="83"/>
        <v>3.3584258361856403</v>
      </c>
    </row>
    <row r="846" spans="1:9" x14ac:dyDescent="0.3">
      <c r="A846" s="1">
        <v>41407</v>
      </c>
      <c r="B846" t="s">
        <v>0</v>
      </c>
      <c r="C846">
        <v>437.12730599999998</v>
      </c>
      <c r="D846" s="2">
        <f t="shared" si="79"/>
        <v>-3.0673375679025898E-3</v>
      </c>
      <c r="E846" s="2">
        <f t="shared" ca="1" si="80"/>
        <v>-1.2885857313427607</v>
      </c>
      <c r="F846">
        <f t="shared" ca="1" si="81"/>
        <v>-1.2900469407098021</v>
      </c>
      <c r="G846" s="3">
        <f t="shared" ca="1" si="84"/>
        <v>1.9091761750824761</v>
      </c>
      <c r="H846">
        <f t="shared" ca="1" si="82"/>
        <v>-0.67570869443416992</v>
      </c>
      <c r="I846">
        <f t="shared" ca="1" si="83"/>
        <v>-0.509362865148691</v>
      </c>
    </row>
    <row r="847" spans="1:9" x14ac:dyDescent="0.3">
      <c r="A847" s="1">
        <v>41408</v>
      </c>
      <c r="B847" t="s">
        <v>0</v>
      </c>
      <c r="C847">
        <v>441.89443469999998</v>
      </c>
      <c r="D847" s="2">
        <f t="shared" si="79"/>
        <v>1.0905584333365807E-2</v>
      </c>
      <c r="E847" s="2">
        <f t="shared" ca="1" si="80"/>
        <v>0.4334118550616084</v>
      </c>
      <c r="F847">
        <f t="shared" ca="1" si="81"/>
        <v>0.4280742955360643</v>
      </c>
      <c r="G847" s="3">
        <f t="shared" ca="1" si="84"/>
        <v>1.9043589058238926</v>
      </c>
      <c r="H847">
        <f t="shared" ca="1" si="82"/>
        <v>0.22478656424843632</v>
      </c>
      <c r="I847">
        <f t="shared" ca="1" si="83"/>
        <v>1.6962679992866019</v>
      </c>
    </row>
    <row r="848" spans="1:9" x14ac:dyDescent="0.3">
      <c r="A848" s="1">
        <v>41409</v>
      </c>
      <c r="B848" t="s">
        <v>0</v>
      </c>
      <c r="C848">
        <v>456.23570660000001</v>
      </c>
      <c r="D848" s="2">
        <f t="shared" si="79"/>
        <v>3.2454067699984178E-2</v>
      </c>
      <c r="E848" s="2">
        <f t="shared" ca="1" si="80"/>
        <v>-0.2674713493339928</v>
      </c>
      <c r="F848">
        <f t="shared" ca="1" si="81"/>
        <v>-0.26881299671700765</v>
      </c>
      <c r="G848" s="3">
        <f t="shared" ca="1" si="84"/>
        <v>1.8970325532703221</v>
      </c>
      <c r="H848">
        <f t="shared" ca="1" si="82"/>
        <v>-0.14170183650965662</v>
      </c>
      <c r="I848">
        <f t="shared" ca="1" si="83"/>
        <v>2.612902661675681</v>
      </c>
    </row>
    <row r="849" spans="1:9" x14ac:dyDescent="0.3">
      <c r="A849" s="1">
        <v>41410</v>
      </c>
      <c r="B849" t="s">
        <v>0</v>
      </c>
      <c r="C849">
        <v>450.24814739999999</v>
      </c>
      <c r="D849" s="2">
        <f t="shared" si="79"/>
        <v>-1.3123828567958956E-2</v>
      </c>
      <c r="E849" s="2">
        <f t="shared" ca="1" si="80"/>
        <v>-2.3692338323816413</v>
      </c>
      <c r="F849">
        <f t="shared" ca="1" si="81"/>
        <v>-2.3857013851263571</v>
      </c>
      <c r="G849" s="3">
        <f t="shared" ca="1" si="84"/>
        <v>1.8895967847266357</v>
      </c>
      <c r="H849">
        <f t="shared" ca="1" si="82"/>
        <v>-1.2625452183289421</v>
      </c>
      <c r="I849">
        <f t="shared" ca="1" si="83"/>
        <v>-1.7390165872355563</v>
      </c>
    </row>
    <row r="850" spans="1:9" x14ac:dyDescent="0.3">
      <c r="A850" s="1">
        <v>41411</v>
      </c>
      <c r="B850" t="s">
        <v>0</v>
      </c>
      <c r="C850">
        <v>452.89323250000001</v>
      </c>
      <c r="D850" s="2">
        <f t="shared" si="79"/>
        <v>5.8747273370791378E-3</v>
      </c>
      <c r="E850" s="2">
        <f t="shared" ca="1" si="80"/>
        <v>-1.210696459592324</v>
      </c>
      <c r="F850">
        <f t="shared" ca="1" si="81"/>
        <v>-1.2269924282496327</v>
      </c>
      <c r="G850" s="3">
        <f t="shared" ca="1" si="84"/>
        <v>1.8922692579900235</v>
      </c>
      <c r="H850">
        <f t="shared" ca="1" si="82"/>
        <v>-0.64842380283287449</v>
      </c>
      <c r="I850">
        <f t="shared" ca="1" si="83"/>
        <v>-0.409154913594794</v>
      </c>
    </row>
    <row r="851" spans="1:9" x14ac:dyDescent="0.3">
      <c r="A851" s="1">
        <v>41414</v>
      </c>
      <c r="B851" t="s">
        <v>0</v>
      </c>
      <c r="C851">
        <v>452.56944060000001</v>
      </c>
      <c r="D851" s="2">
        <f t="shared" si="79"/>
        <v>-7.1494091049374058E-4</v>
      </c>
      <c r="E851" s="2">
        <f t="shared" ca="1" si="80"/>
        <v>-0.87843670656081185</v>
      </c>
      <c r="F851">
        <f t="shared" ca="1" si="81"/>
        <v>-0.87201618251483259</v>
      </c>
      <c r="G851" s="3">
        <f t="shared" ca="1" si="84"/>
        <v>1.8874390611362708</v>
      </c>
      <c r="H851">
        <f t="shared" ca="1" si="82"/>
        <v>-0.46201024471214652</v>
      </c>
      <c r="I851">
        <f t="shared" ca="1" si="83"/>
        <v>0.27389392244229671</v>
      </c>
    </row>
    <row r="852" spans="1:9" x14ac:dyDescent="0.3">
      <c r="A852" s="1">
        <v>41415</v>
      </c>
      <c r="B852" t="s">
        <v>0</v>
      </c>
      <c r="C852">
        <v>451.7923394</v>
      </c>
      <c r="D852" s="2">
        <f t="shared" si="79"/>
        <v>-1.7170872142178929E-3</v>
      </c>
      <c r="E852" s="2">
        <f t="shared" ca="1" si="80"/>
        <v>-1.0563755318328305</v>
      </c>
      <c r="F852">
        <f t="shared" ca="1" si="81"/>
        <v>-1.0598205344740366</v>
      </c>
      <c r="G852" s="3">
        <f t="shared" ca="1" si="84"/>
        <v>1.8813486885214166</v>
      </c>
      <c r="H852">
        <f t="shared" ca="1" si="82"/>
        <v>-0.56333020079705021</v>
      </c>
      <c r="I852">
        <f t="shared" ca="1" si="83"/>
        <v>-0.11620179832392852</v>
      </c>
    </row>
    <row r="853" spans="1:9" x14ac:dyDescent="0.3">
      <c r="A853" s="1">
        <v>41416</v>
      </c>
      <c r="B853" t="s">
        <v>0</v>
      </c>
      <c r="C853">
        <v>443.0501064</v>
      </c>
      <c r="D853" s="2">
        <f t="shared" si="79"/>
        <v>-1.9350113398580567E-2</v>
      </c>
      <c r="E853" s="2">
        <f t="shared" ca="1" si="80"/>
        <v>1.2725435916278602</v>
      </c>
      <c r="F853">
        <f t="shared" ca="1" si="81"/>
        <v>1.27350075903759</v>
      </c>
      <c r="G853" s="3">
        <f t="shared" ca="1" si="84"/>
        <v>1.8759977648368815</v>
      </c>
      <c r="H853">
        <f t="shared" ca="1" si="82"/>
        <v>0.67883916649992448</v>
      </c>
      <c r="I853">
        <f t="shared" ca="1" si="83"/>
        <v>-0.48377009351393252</v>
      </c>
    </row>
    <row r="854" spans="1:9" x14ac:dyDescent="0.3">
      <c r="A854" s="1">
        <v>41417</v>
      </c>
      <c r="B854" t="s">
        <v>0</v>
      </c>
      <c r="C854">
        <v>439.74748849999997</v>
      </c>
      <c r="D854" s="2">
        <f t="shared" si="79"/>
        <v>-7.4542762822819844E-3</v>
      </c>
      <c r="E854" s="2">
        <f t="shared" ca="1" si="80"/>
        <v>-1.2861498971044756</v>
      </c>
      <c r="F854">
        <f t="shared" ca="1" si="81"/>
        <v>-1.2793111374801369</v>
      </c>
      <c r="G854" s="3">
        <f t="shared" ca="1" si="84"/>
        <v>1.87163526890607</v>
      </c>
      <c r="H854">
        <f t="shared" ca="1" si="82"/>
        <v>-0.68352587639998175</v>
      </c>
      <c r="I854">
        <f t="shared" ca="1" si="83"/>
        <v>-0.4926774699127669</v>
      </c>
    </row>
    <row r="855" spans="1:9" x14ac:dyDescent="0.3">
      <c r="A855" s="1">
        <v>41418</v>
      </c>
      <c r="B855" t="s">
        <v>0</v>
      </c>
      <c r="C855">
        <v>435.03013429999999</v>
      </c>
      <c r="D855" s="2">
        <f t="shared" si="79"/>
        <v>-1.0727415899727165E-2</v>
      </c>
      <c r="E855" s="2">
        <f t="shared" ca="1" si="80"/>
        <v>-1.9779781709109623</v>
      </c>
      <c r="F855">
        <f t="shared" ca="1" si="81"/>
        <v>-1.9637063116255564</v>
      </c>
      <c r="G855" s="3">
        <f t="shared" ca="1" si="84"/>
        <v>1.8673705992352889</v>
      </c>
      <c r="H855">
        <f t="shared" ca="1" si="82"/>
        <v>-1.0515889628066963</v>
      </c>
      <c r="I855">
        <f t="shared" ca="1" si="83"/>
        <v>-1.3496971684717947</v>
      </c>
    </row>
    <row r="856" spans="1:9" x14ac:dyDescent="0.3">
      <c r="A856" s="1">
        <v>41422</v>
      </c>
      <c r="B856" t="s">
        <v>0</v>
      </c>
      <c r="C856">
        <v>438.99031550000001</v>
      </c>
      <c r="D856" s="2">
        <f t="shared" si="79"/>
        <v>9.1032342078377782E-3</v>
      </c>
      <c r="E856" s="2">
        <f t="shared" ca="1" si="80"/>
        <v>1.3381744402644169</v>
      </c>
      <c r="F856">
        <f t="shared" ca="1" si="81"/>
        <v>1.3460147381770322</v>
      </c>
      <c r="G856" s="3">
        <f t="shared" ca="1" si="84"/>
        <v>1.867276615360034</v>
      </c>
      <c r="H856">
        <f t="shared" ca="1" si="82"/>
        <v>0.72084378238598779</v>
      </c>
      <c r="I856">
        <f t="shared" ca="1" si="83"/>
        <v>-0.59434210108913499</v>
      </c>
    </row>
    <row r="857" spans="1:9" x14ac:dyDescent="0.3">
      <c r="A857" s="1">
        <v>41423</v>
      </c>
      <c r="B857" t="s">
        <v>0</v>
      </c>
      <c r="C857">
        <v>432.534494</v>
      </c>
      <c r="D857" s="2">
        <f t="shared" si="79"/>
        <v>-1.4706068156986513E-2</v>
      </c>
      <c r="E857" s="2">
        <f t="shared" ca="1" si="80"/>
        <v>3.1955042031651755</v>
      </c>
      <c r="F857">
        <f t="shared" ca="1" si="81"/>
        <v>3.1994698597828228</v>
      </c>
      <c r="G857" s="3">
        <f t="shared" ca="1" si="84"/>
        <v>1.8634068809981854</v>
      </c>
      <c r="H857">
        <f t="shared" ca="1" si="82"/>
        <v>1.7170001315380667</v>
      </c>
      <c r="I857">
        <f t="shared" ca="1" si="83"/>
        <v>-2.3259913814909217</v>
      </c>
    </row>
    <row r="858" spans="1:9" x14ac:dyDescent="0.3">
      <c r="A858" s="1">
        <v>41424</v>
      </c>
      <c r="B858" t="s">
        <v>0</v>
      </c>
      <c r="C858">
        <v>433.75492459999998</v>
      </c>
      <c r="D858" s="2">
        <f t="shared" si="79"/>
        <v>2.8215798206373478E-3</v>
      </c>
      <c r="E858" s="2">
        <f t="shared" ca="1" si="80"/>
        <v>-2.4459521070797106</v>
      </c>
      <c r="F858">
        <f t="shared" ca="1" si="81"/>
        <v>-2.4472358196685051</v>
      </c>
      <c r="G858" s="3">
        <f t="shared" ca="1" si="84"/>
        <v>1.8752180266594605</v>
      </c>
      <c r="H858">
        <f t="shared" ca="1" si="82"/>
        <v>-1.3050406858705625</v>
      </c>
      <c r="I858">
        <f t="shared" ca="1" si="83"/>
        <v>-1.7899196308273104</v>
      </c>
    </row>
    <row r="859" spans="1:9" x14ac:dyDescent="0.3">
      <c r="A859" s="1">
        <v>41425</v>
      </c>
      <c r="B859" t="s">
        <v>0</v>
      </c>
      <c r="C859">
        <v>433.98408160000002</v>
      </c>
      <c r="D859" s="2">
        <f t="shared" si="79"/>
        <v>5.2830985195468922E-4</v>
      </c>
      <c r="E859" s="2">
        <f t="shared" ca="1" si="80"/>
        <v>0.14067707240757171</v>
      </c>
      <c r="F859">
        <f t="shared" ca="1" si="81"/>
        <v>0.14899319489496018</v>
      </c>
      <c r="G859" s="3">
        <f t="shared" ca="1" si="84"/>
        <v>1.8788293805874894</v>
      </c>
      <c r="H859">
        <f t="shared" ca="1" si="82"/>
        <v>7.9301077806422024E-2</v>
      </c>
      <c r="I859">
        <f t="shared" ca="1" si="83"/>
        <v>3.807696718687934</v>
      </c>
    </row>
    <row r="860" spans="1:9" x14ac:dyDescent="0.3">
      <c r="A860" s="1">
        <v>41428</v>
      </c>
      <c r="B860" t="s">
        <v>0</v>
      </c>
      <c r="C860">
        <v>432.19577909999998</v>
      </c>
      <c r="D860" s="2">
        <f t="shared" si="79"/>
        <v>-4.120663811923656E-3</v>
      </c>
      <c r="E860" s="2">
        <f t="shared" ca="1" si="80"/>
        <v>-0.25568232370936256</v>
      </c>
      <c r="F860">
        <f t="shared" ca="1" si="81"/>
        <v>-0.25759683588576404</v>
      </c>
      <c r="G860" s="3">
        <f t="shared" ca="1" si="84"/>
        <v>1.871513447857742</v>
      </c>
      <c r="H860">
        <f t="shared" ca="1" si="82"/>
        <v>-0.1376409216725781</v>
      </c>
      <c r="I860">
        <f t="shared" ca="1" si="83"/>
        <v>2.7124632457563336</v>
      </c>
    </row>
    <row r="861" spans="1:9" x14ac:dyDescent="0.3">
      <c r="A861" s="1">
        <v>41429</v>
      </c>
      <c r="B861" t="s">
        <v>0</v>
      </c>
      <c r="C861">
        <v>427.94668730000001</v>
      </c>
      <c r="D861" s="2">
        <f t="shared" si="79"/>
        <v>-9.8314051304439817E-3</v>
      </c>
      <c r="E861" s="2">
        <f t="shared" ca="1" si="80"/>
        <v>-0.20080533075812818</v>
      </c>
      <c r="F861">
        <f t="shared" ca="1" si="81"/>
        <v>-0.19990566801742971</v>
      </c>
      <c r="G861" s="3">
        <f t="shared" ca="1" si="84"/>
        <v>1.8643628917714608</v>
      </c>
      <c r="H861">
        <f t="shared" ca="1" si="82"/>
        <v>-0.10722465508176117</v>
      </c>
      <c r="I861">
        <f t="shared" ca="1" si="83"/>
        <v>3.2174006729918259</v>
      </c>
    </row>
    <row r="862" spans="1:9" x14ac:dyDescent="0.3">
      <c r="A862" s="1">
        <v>41430</v>
      </c>
      <c r="B862" t="s">
        <v>0</v>
      </c>
      <c r="C862">
        <v>428.2455769</v>
      </c>
      <c r="D862" s="2">
        <f t="shared" si="79"/>
        <v>6.9842718467047569E-4</v>
      </c>
      <c r="E862" s="2">
        <f t="shared" ca="1" si="80"/>
        <v>0.52597129847456292</v>
      </c>
      <c r="F862">
        <f t="shared" ca="1" si="81"/>
        <v>0.53146860746466551</v>
      </c>
      <c r="G862" s="3">
        <f t="shared" ca="1" si="84"/>
        <v>1.8572465507541289</v>
      </c>
      <c r="H862">
        <f t="shared" ca="1" si="82"/>
        <v>0.28615942630172847</v>
      </c>
      <c r="I862">
        <f t="shared" ca="1" si="83"/>
        <v>1.2642205669828026</v>
      </c>
    </row>
    <row r="863" spans="1:9" x14ac:dyDescent="0.3">
      <c r="A863" s="1">
        <v>41431</v>
      </c>
      <c r="B863" t="s">
        <v>0</v>
      </c>
      <c r="C863">
        <v>430.7063354</v>
      </c>
      <c r="D863" s="2">
        <f t="shared" si="79"/>
        <v>5.7461387407968748E-3</v>
      </c>
      <c r="E863" s="2">
        <f t="shared" ca="1" si="80"/>
        <v>2.2096735860078351</v>
      </c>
      <c r="F863">
        <f t="shared" ca="1" si="81"/>
        <v>2.2155873226672149</v>
      </c>
      <c r="G863" s="3">
        <f t="shared" ca="1" si="84"/>
        <v>1.850669434059782</v>
      </c>
      <c r="H863">
        <f t="shared" ca="1" si="82"/>
        <v>1.1971815613806938</v>
      </c>
      <c r="I863">
        <f t="shared" ca="1" si="83"/>
        <v>-1.5910417768918765</v>
      </c>
    </row>
    <row r="864" spans="1:9" x14ac:dyDescent="0.3">
      <c r="A864" s="1">
        <v>41432</v>
      </c>
      <c r="B864" t="s">
        <v>0</v>
      </c>
      <c r="C864">
        <v>438.22319390000001</v>
      </c>
      <c r="D864" s="2">
        <f t="shared" si="79"/>
        <v>1.7452398263468897E-2</v>
      </c>
      <c r="E864" s="2">
        <f t="shared" ca="1" si="80"/>
        <v>2.7895148147170623</v>
      </c>
      <c r="F864">
        <f t="shared" ca="1" si="81"/>
        <v>2.7873666064264109</v>
      </c>
      <c r="G864" s="3">
        <f t="shared" ca="1" si="84"/>
        <v>1.8529558774947472</v>
      </c>
      <c r="H864">
        <f t="shared" ca="1" si="82"/>
        <v>1.5042811543872352</v>
      </c>
      <c r="I864">
        <f t="shared" ca="1" si="83"/>
        <v>-2.0502337661362851</v>
      </c>
    </row>
    <row r="865" spans="1:9" x14ac:dyDescent="0.3">
      <c r="A865" s="1">
        <v>41435</v>
      </c>
      <c r="B865" t="s">
        <v>0</v>
      </c>
      <c r="C865">
        <v>443.4486058</v>
      </c>
      <c r="D865" s="2">
        <f t="shared" si="79"/>
        <v>1.1924087936779522E-2</v>
      </c>
      <c r="E865" s="2">
        <f t="shared" ca="1" si="80"/>
        <v>-1.6608184939621751</v>
      </c>
      <c r="F865">
        <f t="shared" ca="1" si="81"/>
        <v>-1.6696002975977091</v>
      </c>
      <c r="G865" s="3">
        <f t="shared" ca="1" si="84"/>
        <v>1.8605713596271429</v>
      </c>
      <c r="H865">
        <f t="shared" ca="1" si="82"/>
        <v>-0.89735891556037695</v>
      </c>
      <c r="I865">
        <f t="shared" ca="1" si="83"/>
        <v>-1.0252195165267914</v>
      </c>
    </row>
    <row r="866" spans="1:9" x14ac:dyDescent="0.3">
      <c r="A866" s="1">
        <v>41436</v>
      </c>
      <c r="B866" t="s">
        <v>0</v>
      </c>
      <c r="C866">
        <v>438.26305000000002</v>
      </c>
      <c r="D866" s="2">
        <f t="shared" si="79"/>
        <v>-1.1693701890538168E-2</v>
      </c>
      <c r="E866" s="2">
        <f t="shared" ca="1" si="80"/>
        <v>0.77325527253796755</v>
      </c>
      <c r="F866">
        <f t="shared" ca="1" si="81"/>
        <v>0.75883237083921307</v>
      </c>
      <c r="G866" s="3">
        <f t="shared" ca="1" si="84"/>
        <v>1.8586384931901123</v>
      </c>
      <c r="H866">
        <f t="shared" ca="1" si="82"/>
        <v>0.40827324604516047</v>
      </c>
      <c r="I866">
        <f t="shared" ca="1" si="83"/>
        <v>0.551711290565148</v>
      </c>
    </row>
    <row r="867" spans="1:9" x14ac:dyDescent="0.3">
      <c r="A867" s="1">
        <v>41437</v>
      </c>
      <c r="B867" t="s">
        <v>0</v>
      </c>
      <c r="C867">
        <v>434.36265259999999</v>
      </c>
      <c r="D867" s="2">
        <f t="shared" si="79"/>
        <v>-8.8996720120485418E-3</v>
      </c>
      <c r="E867" s="2">
        <f t="shared" ca="1" si="80"/>
        <v>-0.53744805456811195</v>
      </c>
      <c r="F867">
        <f t="shared" ca="1" si="81"/>
        <v>-0.54138648697360892</v>
      </c>
      <c r="G867" s="3">
        <f t="shared" ca="1" si="84"/>
        <v>1.8525951865259509</v>
      </c>
      <c r="H867">
        <f t="shared" ca="1" si="82"/>
        <v>-0.29223140106977991</v>
      </c>
      <c r="I867">
        <f t="shared" ca="1" si="83"/>
        <v>1.2269734932908878</v>
      </c>
    </row>
    <row r="868" spans="1:9" x14ac:dyDescent="0.3">
      <c r="A868" s="1">
        <v>41438</v>
      </c>
      <c r="B868" t="s">
        <v>0</v>
      </c>
      <c r="C868">
        <v>436.8632672</v>
      </c>
      <c r="D868" s="2">
        <f t="shared" si="79"/>
        <v>5.7569742357725115E-3</v>
      </c>
      <c r="E868" s="2">
        <f t="shared" ca="1" si="80"/>
        <v>0.42904132649663118</v>
      </c>
      <c r="F868">
        <f t="shared" ca="1" si="81"/>
        <v>0.43897653067420372</v>
      </c>
      <c r="G868" s="3">
        <f t="shared" ca="1" si="84"/>
        <v>1.8460958103025766</v>
      </c>
      <c r="H868">
        <f t="shared" ca="1" si="82"/>
        <v>0.23778642918985612</v>
      </c>
      <c r="I868">
        <f t="shared" ca="1" si="83"/>
        <v>1.6464466653321319</v>
      </c>
    </row>
    <row r="869" spans="1:9" x14ac:dyDescent="0.3">
      <c r="A869" s="1">
        <v>41439</v>
      </c>
      <c r="B869" t="s">
        <v>0</v>
      </c>
      <c r="C869">
        <v>435.88694720000001</v>
      </c>
      <c r="D869" s="2">
        <f t="shared" si="79"/>
        <v>-2.2348411352081446E-3</v>
      </c>
      <c r="E869" s="2">
        <f t="shared" ca="1" si="80"/>
        <v>-0.88598538083052703</v>
      </c>
      <c r="F869">
        <f t="shared" ca="1" si="81"/>
        <v>-0.88216011521720317</v>
      </c>
      <c r="G869" s="3">
        <f t="shared" ca="1" si="84"/>
        <v>1.8394848232917538</v>
      </c>
      <c r="H869">
        <f t="shared" ca="1" si="82"/>
        <v>-0.47956911850926809</v>
      </c>
      <c r="I869">
        <f t="shared" ca="1" si="83"/>
        <v>0.25075698786560169</v>
      </c>
    </row>
    <row r="870" spans="1:9" x14ac:dyDescent="0.3">
      <c r="A870" s="1">
        <v>41442</v>
      </c>
      <c r="B870" t="s">
        <v>0</v>
      </c>
      <c r="C870">
        <v>441.47103270000002</v>
      </c>
      <c r="D870" s="2">
        <f t="shared" si="79"/>
        <v>1.2810857347003426E-2</v>
      </c>
      <c r="E870" s="2">
        <f t="shared" ca="1" si="80"/>
        <v>1.390181791866397</v>
      </c>
      <c r="F870">
        <f t="shared" ca="1" si="81"/>
        <v>1.3872632954126283</v>
      </c>
      <c r="G870" s="3">
        <f t="shared" ca="1" si="84"/>
        <v>1.8340885107043221</v>
      </c>
      <c r="H870">
        <f t="shared" ca="1" si="82"/>
        <v>0.75637750703748474</v>
      </c>
      <c r="I870">
        <f t="shared" ca="1" si="83"/>
        <v>-0.6547511866810386</v>
      </c>
    </row>
    <row r="871" spans="1:9" x14ac:dyDescent="0.3">
      <c r="A871" s="1">
        <v>41443</v>
      </c>
      <c r="B871" t="s">
        <v>0</v>
      </c>
      <c r="C871">
        <v>448.62918719999999</v>
      </c>
      <c r="D871" s="2">
        <f t="shared" si="79"/>
        <v>1.6214324315281324E-2</v>
      </c>
      <c r="E871" s="2">
        <f t="shared" ca="1" si="80"/>
        <v>-2.3297683030398346</v>
      </c>
      <c r="F871">
        <f t="shared" ca="1" si="81"/>
        <v>-2.3321964297698425</v>
      </c>
      <c r="G871" s="3">
        <f t="shared" ca="1" si="84"/>
        <v>1.831006158533367</v>
      </c>
      <c r="H871">
        <f t="shared" ca="1" si="82"/>
        <v>-1.2737239680493091</v>
      </c>
      <c r="I871">
        <f t="shared" ca="1" si="83"/>
        <v>-1.6936693301598131</v>
      </c>
    </row>
    <row r="872" spans="1:9" x14ac:dyDescent="0.3">
      <c r="A872" s="1">
        <v>41444</v>
      </c>
      <c r="B872" t="s">
        <v>0</v>
      </c>
      <c r="C872">
        <v>448.6590946</v>
      </c>
      <c r="D872" s="2">
        <f t="shared" si="79"/>
        <v>6.6663964033798911E-5</v>
      </c>
      <c r="E872" s="2">
        <f t="shared" ca="1" si="80"/>
        <v>1.9603943150416443</v>
      </c>
      <c r="F872">
        <f t="shared" ca="1" si="81"/>
        <v>1.9475824853239678</v>
      </c>
      <c r="G872" s="3">
        <f t="shared" ca="1" si="84"/>
        <v>1.8348581691854069</v>
      </c>
      <c r="H872">
        <f t="shared" ca="1" si="82"/>
        <v>1.0614348934602424</v>
      </c>
      <c r="I872">
        <f t="shared" ca="1" si="83"/>
        <v>-1.333177705836784</v>
      </c>
    </row>
    <row r="873" spans="1:9" x14ac:dyDescent="0.3">
      <c r="A873" s="1">
        <v>41445</v>
      </c>
      <c r="B873" t="s">
        <v>0</v>
      </c>
      <c r="C873">
        <v>440.71883409999998</v>
      </c>
      <c r="D873" s="2">
        <f t="shared" si="79"/>
        <v>-1.7697758934495968E-2</v>
      </c>
      <c r="E873" s="2">
        <f t="shared" ca="1" si="80"/>
        <v>1.1002270001460823</v>
      </c>
      <c r="F873">
        <f t="shared" ca="1" si="81"/>
        <v>1.0901105170491205</v>
      </c>
      <c r="G873" s="3">
        <f t="shared" ca="1" si="84"/>
        <v>1.8354001447582013</v>
      </c>
      <c r="H873">
        <f t="shared" ca="1" si="82"/>
        <v>0.59393616163887442</v>
      </c>
      <c r="I873">
        <f t="shared" ca="1" si="83"/>
        <v>-0.17282173548426941</v>
      </c>
    </row>
    <row r="874" spans="1:9" x14ac:dyDescent="0.3">
      <c r="A874" s="1">
        <v>41446</v>
      </c>
      <c r="B874" t="s">
        <v>0</v>
      </c>
      <c r="C874">
        <v>438.82094289999998</v>
      </c>
      <c r="D874" s="2">
        <f t="shared" si="79"/>
        <v>-4.3063537411005409E-3</v>
      </c>
      <c r="E874" s="2">
        <f t="shared" ca="1" si="80"/>
        <v>2.1286898956305866</v>
      </c>
      <c r="F874">
        <f t="shared" ca="1" si="81"/>
        <v>2.1339252442899443</v>
      </c>
      <c r="G874" s="3">
        <f t="shared" ca="1" si="84"/>
        <v>1.8308606002722678</v>
      </c>
      <c r="H874">
        <f t="shared" ca="1" si="82"/>
        <v>1.1655312501523096</v>
      </c>
      <c r="I874">
        <f t="shared" ca="1" si="83"/>
        <v>-1.5159303154471435</v>
      </c>
    </row>
    <row r="875" spans="1:9" x14ac:dyDescent="0.3">
      <c r="A875" s="1">
        <v>41449</v>
      </c>
      <c r="B875" t="s">
        <v>0</v>
      </c>
      <c r="C875">
        <v>433.27173920000001</v>
      </c>
      <c r="D875" s="2">
        <f t="shared" si="79"/>
        <v>-1.2645712994752249E-2</v>
      </c>
      <c r="E875" s="2">
        <f t="shared" ca="1" si="80"/>
        <v>-0.38671019277641105</v>
      </c>
      <c r="F875">
        <f t="shared" ca="1" si="81"/>
        <v>-0.37440585087057854</v>
      </c>
      <c r="G875" s="3">
        <f t="shared" ca="1" si="84"/>
        <v>1.8329855449487329</v>
      </c>
      <c r="H875">
        <f t="shared" ca="1" si="82"/>
        <v>-0.20426012191004506</v>
      </c>
      <c r="I875">
        <f t="shared" ca="1" si="83"/>
        <v>1.9636890356920902</v>
      </c>
    </row>
    <row r="876" spans="1:9" x14ac:dyDescent="0.3">
      <c r="A876" s="1">
        <v>41450</v>
      </c>
      <c r="B876" t="s">
        <v>0</v>
      </c>
      <c r="C876">
        <v>431.48343620000003</v>
      </c>
      <c r="D876" s="2">
        <f t="shared" si="79"/>
        <v>-4.1274397524794408E-3</v>
      </c>
      <c r="E876" s="2">
        <f t="shared" ca="1" si="80"/>
        <v>2.2254893180105775</v>
      </c>
      <c r="F876">
        <f t="shared" ca="1" si="81"/>
        <v>2.2319413848506082</v>
      </c>
      <c r="G876" s="3">
        <f t="shared" ca="1" si="84"/>
        <v>1.8264314410200144</v>
      </c>
      <c r="H876">
        <f t="shared" ca="1" si="82"/>
        <v>1.2220230854130101</v>
      </c>
      <c r="I876">
        <f t="shared" ca="1" si="83"/>
        <v>-1.6057469855754267</v>
      </c>
    </row>
    <row r="877" spans="1:9" x14ac:dyDescent="0.3">
      <c r="A877" s="1">
        <v>41451</v>
      </c>
      <c r="B877" t="s">
        <v>0</v>
      </c>
      <c r="C877">
        <v>435.19453299999998</v>
      </c>
      <c r="D877" s="2">
        <f t="shared" si="79"/>
        <v>8.6007862380139966E-3</v>
      </c>
      <c r="E877" s="2">
        <f t="shared" ca="1" si="80"/>
        <v>-1.359571420347359</v>
      </c>
      <c r="F877">
        <f t="shared" ca="1" si="81"/>
        <v>-1.3504663167331334</v>
      </c>
      <c r="G877" s="3">
        <f t="shared" ca="1" si="84"/>
        <v>1.8295155027398273</v>
      </c>
      <c r="H877">
        <f t="shared" ca="1" si="82"/>
        <v>-0.73815516441960494</v>
      </c>
      <c r="I877">
        <f t="shared" ca="1" si="83"/>
        <v>-0.60094046623113684</v>
      </c>
    </row>
    <row r="878" spans="1:9" x14ac:dyDescent="0.3">
      <c r="A878" s="1">
        <v>41452</v>
      </c>
      <c r="B878" t="s">
        <v>0</v>
      </c>
      <c r="C878">
        <v>436.89814899999999</v>
      </c>
      <c r="D878" s="2">
        <f t="shared" si="79"/>
        <v>3.9146079989934319E-3</v>
      </c>
      <c r="E878" s="2">
        <f t="shared" ca="1" si="80"/>
        <v>0.77042952189464942</v>
      </c>
      <c r="F878">
        <f t="shared" ca="1" si="81"/>
        <v>0.77043520778070884</v>
      </c>
      <c r="G878" s="3">
        <f t="shared" ca="1" si="84"/>
        <v>1.8263163351488898</v>
      </c>
      <c r="H878">
        <f t="shared" ca="1" si="82"/>
        <v>0.42185200501856068</v>
      </c>
      <c r="I878">
        <f t="shared" ca="1" si="83"/>
        <v>0.52157362087177939</v>
      </c>
    </row>
    <row r="879" spans="1:9" x14ac:dyDescent="0.3">
      <c r="A879" s="1">
        <v>41453</v>
      </c>
      <c r="B879" t="s">
        <v>0</v>
      </c>
      <c r="C879">
        <v>438.54198100000002</v>
      </c>
      <c r="D879" s="2">
        <f t="shared" si="79"/>
        <v>3.7625062128611394E-3</v>
      </c>
      <c r="E879" s="2">
        <f t="shared" ca="1" si="80"/>
        <v>0.27936258906863087</v>
      </c>
      <c r="F879">
        <f t="shared" ca="1" si="81"/>
        <v>0.27283970706185606</v>
      </c>
      <c r="G879" s="3">
        <f t="shared" ca="1" si="84"/>
        <v>1.8207402283287228</v>
      </c>
      <c r="H879">
        <f t="shared" ca="1" si="82"/>
        <v>0.14985097973712513</v>
      </c>
      <c r="I879">
        <f t="shared" ca="1" si="83"/>
        <v>2.5975514509019897</v>
      </c>
    </row>
    <row r="880" spans="1:9" x14ac:dyDescent="0.3">
      <c r="A880" s="1">
        <v>41456</v>
      </c>
      <c r="B880" t="s">
        <v>0</v>
      </c>
      <c r="C880">
        <v>442.28298480000001</v>
      </c>
      <c r="D880" s="2">
        <f t="shared" si="79"/>
        <v>8.530548868934824E-3</v>
      </c>
      <c r="E880" s="2">
        <f t="shared" ca="1" si="80"/>
        <v>0.59778851697398983</v>
      </c>
      <c r="F880">
        <f t="shared" ca="1" si="81"/>
        <v>0.59422905417761462</v>
      </c>
      <c r="G880" s="3">
        <f t="shared" ca="1" si="84"/>
        <v>1.81420275238768</v>
      </c>
      <c r="H880">
        <f t="shared" ca="1" si="82"/>
        <v>0.32754280269696823</v>
      </c>
      <c r="I880">
        <f t="shared" ca="1" si="83"/>
        <v>1.0407747568043368</v>
      </c>
    </row>
    <row r="881" spans="1:9" x14ac:dyDescent="0.3">
      <c r="A881" s="1">
        <v>41457</v>
      </c>
      <c r="B881" t="s">
        <v>0</v>
      </c>
      <c r="C881">
        <v>439.50838320000003</v>
      </c>
      <c r="D881" s="2">
        <f t="shared" si="79"/>
        <v>-6.273362745923077E-3</v>
      </c>
      <c r="E881" s="2">
        <f t="shared" ca="1" si="80"/>
        <v>4.4066012151693741</v>
      </c>
      <c r="F881">
        <f t="shared" ca="1" si="81"/>
        <v>4.4017148001137851</v>
      </c>
      <c r="G881" s="3">
        <f t="shared" ca="1" si="84"/>
        <v>1.8083060013178733</v>
      </c>
      <c r="H881">
        <f t="shared" ca="1" si="82"/>
        <v>2.434164791194557</v>
      </c>
      <c r="I881">
        <f t="shared" ca="1" si="83"/>
        <v>-2.963990415817864</v>
      </c>
    </row>
    <row r="882" spans="1:9" x14ac:dyDescent="0.3">
      <c r="A882" s="1">
        <v>41458</v>
      </c>
      <c r="B882" t="s">
        <v>0</v>
      </c>
      <c r="C882">
        <v>441.56069359999998</v>
      </c>
      <c r="D882" s="2">
        <f t="shared" si="79"/>
        <v>4.6695591675802953E-3</v>
      </c>
      <c r="E882" s="2">
        <f t="shared" ca="1" si="80"/>
        <v>0.96113984949906961</v>
      </c>
      <c r="F882">
        <f t="shared" ca="1" si="81"/>
        <v>0.95769840485564051</v>
      </c>
      <c r="G882" s="3">
        <f t="shared" ca="1" si="84"/>
        <v>1.8408642028119901</v>
      </c>
      <c r="H882">
        <f t="shared" ca="1" si="82"/>
        <v>0.52024391771686351</v>
      </c>
      <c r="I882">
        <f t="shared" ca="1" si="83"/>
        <v>8.64209625493986E-2</v>
      </c>
    </row>
    <row r="883" spans="1:9" x14ac:dyDescent="0.3">
      <c r="A883" s="1">
        <v>41460</v>
      </c>
      <c r="B883" t="s">
        <v>0</v>
      </c>
      <c r="C883">
        <v>445.07751469999999</v>
      </c>
      <c r="D883" s="2">
        <f t="shared" si="79"/>
        <v>7.9645248115898324E-3</v>
      </c>
      <c r="E883" s="2">
        <f t="shared" ca="1" si="80"/>
        <v>2.159129799003674</v>
      </c>
      <c r="F883">
        <f t="shared" ca="1" si="81"/>
        <v>2.1616439001026899</v>
      </c>
      <c r="G883" s="3">
        <f t="shared" ca="1" si="84"/>
        <v>1.8357170745935103</v>
      </c>
      <c r="H883">
        <f t="shared" ca="1" si="82"/>
        <v>1.1775474173117613</v>
      </c>
      <c r="I883">
        <f t="shared" ca="1" si="83"/>
        <v>-1.5417515695533623</v>
      </c>
    </row>
    <row r="884" spans="1:9" x14ac:dyDescent="0.3">
      <c r="A884" s="1">
        <v>41463</v>
      </c>
      <c r="B884" t="s">
        <v>0</v>
      </c>
      <c r="C884">
        <v>450.85584510000001</v>
      </c>
      <c r="D884" s="2">
        <f t="shared" si="79"/>
        <v>1.2982750665116932E-2</v>
      </c>
      <c r="E884" s="2">
        <f t="shared" ca="1" si="80"/>
        <v>-4.1759325027425884</v>
      </c>
      <c r="F884">
        <f t="shared" ca="1" si="81"/>
        <v>-4.181214967865305</v>
      </c>
      <c r="G884" s="3">
        <f t="shared" ca="1" si="84"/>
        <v>1.8379464612813654</v>
      </c>
      <c r="H884">
        <f t="shared" ca="1" si="82"/>
        <v>-2.2749383923568032</v>
      </c>
      <c r="I884">
        <f t="shared" ca="1" si="83"/>
        <v>-2.8612133740837966</v>
      </c>
    </row>
    <row r="885" spans="1:9" x14ac:dyDescent="0.3">
      <c r="A885" s="1">
        <v>41464</v>
      </c>
      <c r="B885" t="s">
        <v>0</v>
      </c>
      <c r="C885">
        <v>450.93058300000001</v>
      </c>
      <c r="D885" s="2">
        <f t="shared" si="79"/>
        <v>1.6576894990332321E-4</v>
      </c>
      <c r="E885" s="2">
        <f t="shared" ca="1" si="80"/>
        <v>-2.3522497914830556</v>
      </c>
      <c r="F885">
        <f t="shared" ca="1" si="81"/>
        <v>-2.3610802823538148</v>
      </c>
      <c r="G885" s="3">
        <f t="shared" ca="1" si="84"/>
        <v>1.8647203720496381</v>
      </c>
      <c r="H885">
        <f t="shared" ca="1" si="82"/>
        <v>-1.2661846342991332</v>
      </c>
      <c r="I885">
        <f t="shared" ca="1" si="83"/>
        <v>-1.7182385270563385</v>
      </c>
    </row>
    <row r="886" spans="1:9" x14ac:dyDescent="0.3">
      <c r="A886" s="1">
        <v>41465</v>
      </c>
      <c r="B886" t="s">
        <v>0</v>
      </c>
      <c r="C886">
        <v>451.3041796</v>
      </c>
      <c r="D886" s="2">
        <f t="shared" si="79"/>
        <v>8.2850135715896835E-4</v>
      </c>
      <c r="E886" s="2">
        <f t="shared" ca="1" si="80"/>
        <v>0.86677684393253085</v>
      </c>
      <c r="F886">
        <f t="shared" ca="1" si="81"/>
        <v>0.858643101394166</v>
      </c>
      <c r="G886" s="3">
        <f t="shared" ca="1" si="84"/>
        <v>1.8678698975319545</v>
      </c>
      <c r="H886">
        <f t="shared" ca="1" si="82"/>
        <v>0.45969106441979951</v>
      </c>
      <c r="I886">
        <f t="shared" ca="1" si="83"/>
        <v>0.30480291863782744</v>
      </c>
    </row>
    <row r="887" spans="1:9" x14ac:dyDescent="0.3">
      <c r="A887" s="1">
        <v>41466</v>
      </c>
      <c r="B887" t="s">
        <v>0</v>
      </c>
      <c r="C887">
        <v>458.40258060000002</v>
      </c>
      <c r="D887" s="2">
        <f t="shared" si="79"/>
        <v>1.5728640063319334E-2</v>
      </c>
      <c r="E887" s="2">
        <f t="shared" ca="1" si="80"/>
        <v>1.0018482704900273</v>
      </c>
      <c r="F887">
        <f t="shared" ca="1" si="81"/>
        <v>1.0014980162401781</v>
      </c>
      <c r="G887" s="3">
        <f t="shared" ca="1" si="84"/>
        <v>1.8620034060185831</v>
      </c>
      <c r="H887">
        <f t="shared" ca="1" si="82"/>
        <v>0.53786046416618805</v>
      </c>
      <c r="I887">
        <f t="shared" ca="1" si="83"/>
        <v>-3.2404412578313584E-3</v>
      </c>
    </row>
    <row r="888" spans="1:9" x14ac:dyDescent="0.3">
      <c r="A888" s="1">
        <v>41467</v>
      </c>
      <c r="B888" t="s">
        <v>0</v>
      </c>
      <c r="C888">
        <v>459.77743029999999</v>
      </c>
      <c r="D888" s="2">
        <f t="shared" si="79"/>
        <v>2.999218935897871E-3</v>
      </c>
      <c r="E888" s="2">
        <f t="shared" ca="1" si="80"/>
        <v>2.1699078348145378</v>
      </c>
      <c r="F888">
        <f t="shared" ca="1" si="81"/>
        <v>2.1647021928615056</v>
      </c>
      <c r="G888" s="3">
        <f t="shared" ca="1" si="84"/>
        <v>1.8567133016488946</v>
      </c>
      <c r="H888">
        <f t="shared" ca="1" si="82"/>
        <v>1.1658785397503721</v>
      </c>
      <c r="I888">
        <f t="shared" ca="1" si="83"/>
        <v>-1.5445675131062055</v>
      </c>
    </row>
    <row r="889" spans="1:9" x14ac:dyDescent="0.3">
      <c r="A889" s="1">
        <v>41470</v>
      </c>
      <c r="B889" t="s">
        <v>0</v>
      </c>
      <c r="C889">
        <v>460.61928979999999</v>
      </c>
      <c r="D889" s="2">
        <f t="shared" si="79"/>
        <v>1.8310152793944096E-3</v>
      </c>
      <c r="E889" s="2">
        <f t="shared" ca="1" si="80"/>
        <v>-2.8806893933196229</v>
      </c>
      <c r="F889">
        <f t="shared" ca="1" si="81"/>
        <v>-2.8913778289819079</v>
      </c>
      <c r="G889" s="3">
        <f t="shared" ca="1" si="84"/>
        <v>1.8584218645208526</v>
      </c>
      <c r="H889">
        <f t="shared" ca="1" si="82"/>
        <v>-1.5558242636837343</v>
      </c>
      <c r="I889">
        <f t="shared" ca="1" si="83"/>
        <v>-2.1234666929172041</v>
      </c>
    </row>
    <row r="890" spans="1:9" x14ac:dyDescent="0.3">
      <c r="A890" s="1">
        <v>41471</v>
      </c>
      <c r="B890" t="s">
        <v>0</v>
      </c>
      <c r="C890">
        <v>458.08876780000003</v>
      </c>
      <c r="D890" s="2">
        <f t="shared" si="79"/>
        <v>-5.4937386601822732E-3</v>
      </c>
      <c r="E890" s="2">
        <f t="shared" ca="1" si="80"/>
        <v>-1.4466724550375938</v>
      </c>
      <c r="F890">
        <f t="shared" ca="1" si="81"/>
        <v>-1.4490860042421441</v>
      </c>
      <c r="G890" s="3">
        <f t="shared" ca="1" si="84"/>
        <v>1.8669475929365138</v>
      </c>
      <c r="H890">
        <f t="shared" ca="1" si="82"/>
        <v>-0.77617926165933937</v>
      </c>
      <c r="I890">
        <f t="shared" ca="1" si="83"/>
        <v>-0.74188040457109239</v>
      </c>
    </row>
    <row r="891" spans="1:9" x14ac:dyDescent="0.3">
      <c r="A891" s="1">
        <v>41472</v>
      </c>
      <c r="B891" t="s">
        <v>0</v>
      </c>
      <c r="C891">
        <v>457.56075149999998</v>
      </c>
      <c r="D891" s="2">
        <f t="shared" si="79"/>
        <v>-1.152650615154522E-3</v>
      </c>
      <c r="E891" s="2">
        <f t="shared" ca="1" si="80"/>
        <v>0.1266702792598457</v>
      </c>
      <c r="F891">
        <f t="shared" ca="1" si="81"/>
        <v>0.12716815509983806</v>
      </c>
      <c r="G891" s="3">
        <f t="shared" ca="1" si="84"/>
        <v>1.8636165220904171</v>
      </c>
      <c r="H891">
        <f t="shared" ca="1" si="82"/>
        <v>6.8237297530070004E-2</v>
      </c>
      <c r="I891">
        <f t="shared" ca="1" si="83"/>
        <v>4.1244078689406107</v>
      </c>
    </row>
    <row r="892" spans="1:9" x14ac:dyDescent="0.3">
      <c r="A892" s="1">
        <v>41473</v>
      </c>
      <c r="B892" t="s">
        <v>0</v>
      </c>
      <c r="C892">
        <v>453.6404263</v>
      </c>
      <c r="D892" s="2">
        <f t="shared" si="79"/>
        <v>-8.5678791005307179E-3</v>
      </c>
      <c r="E892" s="2">
        <f t="shared" ca="1" si="80"/>
        <v>2.7382488040434101</v>
      </c>
      <c r="F892">
        <f t="shared" ca="1" si="81"/>
        <v>2.7420134175436766</v>
      </c>
      <c r="G892" s="3">
        <f t="shared" ca="1" si="84"/>
        <v>1.8564644899531626</v>
      </c>
      <c r="H892">
        <f t="shared" ca="1" si="82"/>
        <v>1.4770082769602859</v>
      </c>
      <c r="I892">
        <f t="shared" ca="1" si="83"/>
        <v>-2.0173947124846929</v>
      </c>
    </row>
    <row r="893" spans="1:9" x14ac:dyDescent="0.3">
      <c r="A893" s="1">
        <v>41474</v>
      </c>
      <c r="B893" t="s">
        <v>0</v>
      </c>
      <c r="C893">
        <v>446.62671189999998</v>
      </c>
      <c r="D893" s="2">
        <f t="shared" si="79"/>
        <v>-1.5460955402951101E-2</v>
      </c>
      <c r="E893" s="2">
        <f t="shared" ca="1" si="80"/>
        <v>0.7425955791337977</v>
      </c>
      <c r="F893">
        <f t="shared" ca="1" si="81"/>
        <v>0.74586797631213941</v>
      </c>
      <c r="G893" s="3">
        <f t="shared" ca="1" si="84"/>
        <v>1.8634879453925017</v>
      </c>
      <c r="H893">
        <f t="shared" ca="1" si="82"/>
        <v>0.40025371677681509</v>
      </c>
      <c r="I893">
        <f t="shared" ca="1" si="83"/>
        <v>0.58598365623160154</v>
      </c>
    </row>
    <row r="894" spans="1:9" x14ac:dyDescent="0.3">
      <c r="A894" s="1">
        <v>41477</v>
      </c>
      <c r="B894" t="s">
        <v>0</v>
      </c>
      <c r="C894">
        <v>453.650375</v>
      </c>
      <c r="D894" s="2">
        <f t="shared" si="79"/>
        <v>1.5726025588842577E-2</v>
      </c>
      <c r="E894" s="2">
        <f t="shared" ca="1" si="80"/>
        <v>1.9723185083285548</v>
      </c>
      <c r="F894">
        <f t="shared" ca="1" si="81"/>
        <v>1.9822636209300404</v>
      </c>
      <c r="G894" s="3">
        <f t="shared" ca="1" si="84"/>
        <v>1.8573441801669768</v>
      </c>
      <c r="H894">
        <f t="shared" ca="1" si="82"/>
        <v>1.0672570232792467</v>
      </c>
      <c r="I894">
        <f t="shared" ca="1" si="83"/>
        <v>-1.3685418075100946</v>
      </c>
    </row>
    <row r="895" spans="1:9" x14ac:dyDescent="0.3">
      <c r="A895" s="1">
        <v>41478</v>
      </c>
      <c r="B895" t="s">
        <v>0</v>
      </c>
      <c r="C895">
        <v>450.21326570000002</v>
      </c>
      <c r="D895" s="2">
        <f t="shared" si="79"/>
        <v>-7.5765600326021436E-3</v>
      </c>
      <c r="E895" s="2">
        <f t="shared" ca="1" si="80"/>
        <v>1.0058174704584113</v>
      </c>
      <c r="F895">
        <f t="shared" ca="1" si="81"/>
        <v>1.0107559989833552</v>
      </c>
      <c r="G895" s="3">
        <f t="shared" ca="1" si="84"/>
        <v>1.8576181811017425</v>
      </c>
      <c r="H895">
        <f t="shared" ca="1" si="82"/>
        <v>0.54411396769592435</v>
      </c>
      <c r="I895">
        <f t="shared" ca="1" si="83"/>
        <v>-2.1453318425779109E-2</v>
      </c>
    </row>
    <row r="896" spans="1:9" x14ac:dyDescent="0.3">
      <c r="A896" s="1">
        <v>41479</v>
      </c>
      <c r="B896" t="s">
        <v>0</v>
      </c>
      <c r="C896">
        <v>449.76493110000001</v>
      </c>
      <c r="D896" s="2">
        <f t="shared" si="79"/>
        <v>-9.9582716493911089E-4</v>
      </c>
      <c r="E896" s="2">
        <f t="shared" ca="1" si="80"/>
        <v>-1.1507629213057713</v>
      </c>
      <c r="F896">
        <f t="shared" ca="1" si="81"/>
        <v>-1.1582963971480316</v>
      </c>
      <c r="G896" s="3">
        <f t="shared" ca="1" si="84"/>
        <v>1.8524267601117135</v>
      </c>
      <c r="H896">
        <f t="shared" ca="1" si="82"/>
        <v>-0.62528593415384404</v>
      </c>
      <c r="I896">
        <f t="shared" ca="1" si="83"/>
        <v>-0.29390134411513208</v>
      </c>
    </row>
    <row r="897" spans="1:9" x14ac:dyDescent="0.3">
      <c r="A897" s="1">
        <v>41480</v>
      </c>
      <c r="B897" t="s">
        <v>0</v>
      </c>
      <c r="C897">
        <v>442.19332439999999</v>
      </c>
      <c r="D897" s="2">
        <f t="shared" si="79"/>
        <v>-1.6834586639474031E-2</v>
      </c>
      <c r="E897" s="2">
        <f t="shared" ca="1" si="80"/>
        <v>-2.3329133893832523</v>
      </c>
      <c r="F897">
        <f t="shared" ca="1" si="81"/>
        <v>-2.3278985692255798</v>
      </c>
      <c r="G897" s="3">
        <f t="shared" ca="1" si="84"/>
        <v>1.84791790880738</v>
      </c>
      <c r="H897">
        <f t="shared" ca="1" si="82"/>
        <v>-1.2597413327348359</v>
      </c>
      <c r="I897">
        <f t="shared" ca="1" si="83"/>
        <v>-1.689984215003151</v>
      </c>
    </row>
    <row r="898" spans="1:9" x14ac:dyDescent="0.3">
      <c r="A898" s="1">
        <v>41481</v>
      </c>
      <c r="B898" t="s">
        <v>0</v>
      </c>
      <c r="C898">
        <v>441.02269819999998</v>
      </c>
      <c r="D898" s="2">
        <f t="shared" si="79"/>
        <v>-2.6473176671954644E-3</v>
      </c>
      <c r="E898" s="2">
        <f t="shared" ca="1" si="80"/>
        <v>1.7904640790417205E-3</v>
      </c>
      <c r="F898">
        <f t="shared" ca="1" si="81"/>
        <v>7.4300543081351009E-3</v>
      </c>
      <c r="G898" s="3">
        <f t="shared" ca="1" si="84"/>
        <v>1.8512479346371533</v>
      </c>
      <c r="H898">
        <f t="shared" ca="1" si="82"/>
        <v>4.013538202591648E-3</v>
      </c>
      <c r="I898">
        <f t="shared" ca="1" si="83"/>
        <v>9.6774955565095269</v>
      </c>
    </row>
    <row r="899" spans="1:9" x14ac:dyDescent="0.3">
      <c r="A899" s="1">
        <v>41484</v>
      </c>
      <c r="B899" t="s">
        <v>0</v>
      </c>
      <c r="C899">
        <v>439.48845490000002</v>
      </c>
      <c r="D899" s="2">
        <f t="shared" si="79"/>
        <v>-3.4788306957030846E-3</v>
      </c>
      <c r="E899" s="2">
        <f t="shared" ca="1" si="80"/>
        <v>-0.6437584872204809</v>
      </c>
      <c r="F899">
        <f t="shared" ca="1" si="81"/>
        <v>-0.63248630707419484</v>
      </c>
      <c r="G899" s="3">
        <f t="shared" ca="1" si="84"/>
        <v>1.8442081367822158</v>
      </c>
      <c r="H899">
        <f t="shared" ca="1" si="82"/>
        <v>-0.34295820220040907</v>
      </c>
      <c r="I899">
        <f t="shared" ca="1" si="83"/>
        <v>0.91616316230543082</v>
      </c>
    </row>
    <row r="900" spans="1:9" x14ac:dyDescent="0.3">
      <c r="A900" s="1">
        <v>41485</v>
      </c>
      <c r="B900" t="s">
        <v>0</v>
      </c>
      <c r="C900">
        <v>443.79730030000002</v>
      </c>
      <c r="D900" s="2">
        <f t="shared" ref="D900:D963" si="85">(C900-C899)/C899</f>
        <v>9.804228875546727E-3</v>
      </c>
      <c r="E900" s="2">
        <f t="shared" ca="1" si="80"/>
        <v>-3.6951321140338125E-2</v>
      </c>
      <c r="F900">
        <f t="shared" ca="1" si="81"/>
        <v>-3.4265578084165194E-2</v>
      </c>
      <c r="G900" s="3">
        <f t="shared" ca="1" si="84"/>
        <v>1.8380187583044842</v>
      </c>
      <c r="H900">
        <f t="shared" ca="1" si="82"/>
        <v>-1.8642670500149918E-2</v>
      </c>
      <c r="I900">
        <f t="shared" ca="1" si="83"/>
        <v>6.6653606118085689</v>
      </c>
    </row>
    <row r="901" spans="1:9" x14ac:dyDescent="0.3">
      <c r="A901" s="1">
        <v>41486</v>
      </c>
      <c r="B901" t="s">
        <v>0</v>
      </c>
      <c r="C901">
        <v>442.21822650000001</v>
      </c>
      <c r="D901" s="2">
        <f t="shared" si="85"/>
        <v>-3.5580969035471244E-3</v>
      </c>
      <c r="E901" s="2">
        <f t="shared" ca="1" si="80"/>
        <v>-0.60815503044738262</v>
      </c>
      <c r="F901">
        <f t="shared" ca="1" si="81"/>
        <v>-0.60891205628329181</v>
      </c>
      <c r="G901" s="3">
        <f t="shared" ca="1" si="84"/>
        <v>1.831134011430622</v>
      </c>
      <c r="H901">
        <f t="shared" ca="1" si="82"/>
        <v>-0.33253276520573344</v>
      </c>
      <c r="I901">
        <f t="shared" ca="1" si="83"/>
        <v>0.99212871197594377</v>
      </c>
    </row>
    <row r="902" spans="1:9" x14ac:dyDescent="0.3">
      <c r="A902" s="1">
        <v>41487</v>
      </c>
      <c r="B902" t="s">
        <v>0</v>
      </c>
      <c r="C902">
        <v>450.4224949</v>
      </c>
      <c r="D902" s="2">
        <f t="shared" si="85"/>
        <v>1.8552533361037279E-2</v>
      </c>
      <c r="E902" s="2">
        <f t="shared" ref="E902:E965" ca="1" si="86">$N$9*D901+$N$10*D900+F902</f>
        <v>-0.11635014763280777</v>
      </c>
      <c r="F902">
        <f t="shared" ref="F902:F965" ca="1" si="87">G902*H902</f>
        <v>-0.12139430704642368</v>
      </c>
      <c r="G902" s="3">
        <f t="shared" ca="1" si="84"/>
        <v>1.8250551708580041</v>
      </c>
      <c r="H902">
        <f t="shared" ref="H902:H965" ca="1" si="88">_xlfn.NORM.S.INV(RAND())</f>
        <v>-6.6515417717127517E-2</v>
      </c>
      <c r="I902">
        <f t="shared" ref="I902:I965" ca="1" si="89">-LN(F902^2)-(D902^2)/(F902^2)</f>
        <v>4.1940659816754557</v>
      </c>
    </row>
    <row r="903" spans="1:9" x14ac:dyDescent="0.3">
      <c r="A903" s="1">
        <v>41488</v>
      </c>
      <c r="B903" t="s">
        <v>0</v>
      </c>
      <c r="C903">
        <v>451.59309020000001</v>
      </c>
      <c r="D903" s="2">
        <f t="shared" si="85"/>
        <v>2.5988828561057781E-3</v>
      </c>
      <c r="E903" s="2">
        <f t="shared" ca="1" si="86"/>
        <v>3.9347636395018997</v>
      </c>
      <c r="F903">
        <f t="shared" ca="1" si="87"/>
        <v>3.9314475304107912</v>
      </c>
      <c r="G903" s="3">
        <f t="shared" ref="G903:G966" ca="1" si="90">SQRT($N$6+$N$7*(H902^2)+$N$8*(G902^2))</f>
        <v>1.8183479097932798</v>
      </c>
      <c r="H903">
        <f t="shared" ca="1" si="88"/>
        <v>2.1620986331805669</v>
      </c>
      <c r="I903">
        <f t="shared" ca="1" si="89"/>
        <v>-2.7380158098143976</v>
      </c>
    </row>
    <row r="904" spans="1:9" x14ac:dyDescent="0.3">
      <c r="A904" s="1">
        <v>41491</v>
      </c>
      <c r="B904" t="s">
        <v>0</v>
      </c>
      <c r="C904">
        <v>450.81101460000002</v>
      </c>
      <c r="D904" s="2">
        <f t="shared" si="85"/>
        <v>-1.7318148062310291E-3</v>
      </c>
      <c r="E904" s="2">
        <f t="shared" ca="1" si="86"/>
        <v>-2.6403535203291297</v>
      </c>
      <c r="F904">
        <f t="shared" ca="1" si="87"/>
        <v>-2.6526810186389915</v>
      </c>
      <c r="G904" s="3">
        <f t="shared" ca="1" si="90"/>
        <v>1.8424398727071283</v>
      </c>
      <c r="H904">
        <f t="shared" ca="1" si="88"/>
        <v>-1.4397653122548646</v>
      </c>
      <c r="I904">
        <f t="shared" ca="1" si="89"/>
        <v>-1.9511420936513955</v>
      </c>
    </row>
    <row r="905" spans="1:9" x14ac:dyDescent="0.3">
      <c r="A905" s="1">
        <v>41492</v>
      </c>
      <c r="B905" t="s">
        <v>0</v>
      </c>
      <c r="C905">
        <v>446.61175800000001</v>
      </c>
      <c r="D905" s="2">
        <f t="shared" si="85"/>
        <v>-9.3148935230120099E-3</v>
      </c>
      <c r="E905" s="2">
        <f t="shared" ca="1" si="86"/>
        <v>-2.2240113539266373</v>
      </c>
      <c r="F905">
        <f t="shared" ca="1" si="87"/>
        <v>-2.2251133023742073</v>
      </c>
      <c r="G905" s="3">
        <f t="shared" ca="1" si="90"/>
        <v>1.8490250152093592</v>
      </c>
      <c r="H905">
        <f t="shared" ca="1" si="88"/>
        <v>-1.2033981606907924</v>
      </c>
      <c r="I905">
        <f t="shared" ca="1" si="89"/>
        <v>-1.599633198211982</v>
      </c>
    </row>
    <row r="906" spans="1:9" x14ac:dyDescent="0.3">
      <c r="A906" s="1">
        <v>41493</v>
      </c>
      <c r="B906" t="s">
        <v>0</v>
      </c>
      <c r="C906">
        <v>443.66280890000002</v>
      </c>
      <c r="D906" s="2">
        <f t="shared" si="85"/>
        <v>-6.6029365487506779E-3</v>
      </c>
      <c r="E906" s="2">
        <f t="shared" ca="1" si="86"/>
        <v>-1.1991595349817039</v>
      </c>
      <c r="F906">
        <f t="shared" ca="1" si="87"/>
        <v>-1.1953037602897625</v>
      </c>
      <c r="G906" s="3">
        <f t="shared" ca="1" si="90"/>
        <v>1.8514354858899762</v>
      </c>
      <c r="H906">
        <f t="shared" ca="1" si="88"/>
        <v>-0.6456091877893253</v>
      </c>
      <c r="I906">
        <f t="shared" ca="1" si="89"/>
        <v>-0.35683120688843578</v>
      </c>
    </row>
    <row r="907" spans="1:9" x14ac:dyDescent="0.3">
      <c r="A907" s="1">
        <v>41494</v>
      </c>
      <c r="B907" t="s">
        <v>0</v>
      </c>
      <c r="C907">
        <v>444.66406189999998</v>
      </c>
      <c r="D907" s="2">
        <f t="shared" si="85"/>
        <v>2.2567882182471634E-3</v>
      </c>
      <c r="E907" s="2">
        <f t="shared" ca="1" si="86"/>
        <v>3.5318069238764584</v>
      </c>
      <c r="F907">
        <f t="shared" ca="1" si="87"/>
        <v>3.5395760447978204</v>
      </c>
      <c r="G907" s="3">
        <f t="shared" ca="1" si="90"/>
        <v>1.8471074766505804</v>
      </c>
      <c r="H907">
        <f t="shared" ca="1" si="88"/>
        <v>1.9162805031877452</v>
      </c>
      <c r="I907">
        <f t="shared" ca="1" si="89"/>
        <v>-2.5280143237517221</v>
      </c>
    </row>
    <row r="908" spans="1:9" x14ac:dyDescent="0.3">
      <c r="A908" s="1">
        <v>41495</v>
      </c>
      <c r="B908" t="s">
        <v>0</v>
      </c>
      <c r="C908">
        <v>443.54324100000002</v>
      </c>
      <c r="D908" s="2">
        <f t="shared" si="85"/>
        <v>-2.5206014968037057E-3</v>
      </c>
      <c r="E908" s="2">
        <f t="shared" ca="1" si="86"/>
        <v>5.010768055568132</v>
      </c>
      <c r="F908">
        <f t="shared" ca="1" si="87"/>
        <v>5.0142067860988977</v>
      </c>
      <c r="G908" s="3">
        <f t="shared" ca="1" si="90"/>
        <v>1.8639452519505686</v>
      </c>
      <c r="H908">
        <f t="shared" ca="1" si="88"/>
        <v>2.6901041116157596</v>
      </c>
      <c r="I908">
        <f t="shared" ca="1" si="89"/>
        <v>-3.2245507339563861</v>
      </c>
    </row>
    <row r="909" spans="1:9" x14ac:dyDescent="0.3">
      <c r="A909" s="1">
        <v>41498</v>
      </c>
      <c r="B909" t="s">
        <v>0</v>
      </c>
      <c r="C909">
        <v>441.1024104</v>
      </c>
      <c r="D909" s="2">
        <f t="shared" si="85"/>
        <v>-5.5030273812695218E-3</v>
      </c>
      <c r="E909" s="2">
        <f t="shared" ca="1" si="86"/>
        <v>-2.056439757483044</v>
      </c>
      <c r="F909">
        <f t="shared" ca="1" si="87"/>
        <v>-2.0570934957982128</v>
      </c>
      <c r="G909" s="3">
        <f t="shared" ca="1" si="90"/>
        <v>1.9030248373246279</v>
      </c>
      <c r="H909">
        <f t="shared" ca="1" si="88"/>
        <v>-1.0809598779016372</v>
      </c>
      <c r="I909">
        <f t="shared" ca="1" si="89"/>
        <v>-1.4425952806925055</v>
      </c>
    </row>
    <row r="910" spans="1:9" x14ac:dyDescent="0.3">
      <c r="A910" s="1">
        <v>41499</v>
      </c>
      <c r="B910" t="s">
        <v>0</v>
      </c>
      <c r="C910">
        <v>438.9803364</v>
      </c>
      <c r="D910" s="2">
        <f t="shared" si="85"/>
        <v>-4.8108419948910755E-3</v>
      </c>
      <c r="E910" s="2">
        <f t="shared" ca="1" si="86"/>
        <v>0.33169026876869528</v>
      </c>
      <c r="F910">
        <f t="shared" ca="1" si="87"/>
        <v>0.33490065158054932</v>
      </c>
      <c r="G910" s="3">
        <f t="shared" ca="1" si="90"/>
        <v>1.9027882235960707</v>
      </c>
      <c r="H910">
        <f t="shared" ca="1" si="88"/>
        <v>0.17600521562385021</v>
      </c>
      <c r="I910">
        <f t="shared" ca="1" si="89"/>
        <v>2.1876363544512047</v>
      </c>
    </row>
    <row r="911" spans="1:9" x14ac:dyDescent="0.3">
      <c r="A911" s="1">
        <v>41500</v>
      </c>
      <c r="B911" t="s">
        <v>0</v>
      </c>
      <c r="C911">
        <v>433.28168790000001</v>
      </c>
      <c r="D911" s="2">
        <f t="shared" si="85"/>
        <v>-1.2981557549328058E-2</v>
      </c>
      <c r="E911" s="2">
        <f t="shared" ca="1" si="86"/>
        <v>1.1967218828859354</v>
      </c>
      <c r="F911">
        <f t="shared" ca="1" si="87"/>
        <v>1.2015830266865386</v>
      </c>
      <c r="G911" s="3">
        <f t="shared" ca="1" si="90"/>
        <v>1.8953559431533777</v>
      </c>
      <c r="H911">
        <f t="shared" ca="1" si="88"/>
        <v>0.63396167407342918</v>
      </c>
      <c r="I911">
        <f t="shared" ca="1" si="89"/>
        <v>-0.36739647287191046</v>
      </c>
    </row>
    <row r="912" spans="1:9" x14ac:dyDescent="0.3">
      <c r="A912" s="1">
        <v>41501</v>
      </c>
      <c r="B912" t="s">
        <v>0</v>
      </c>
      <c r="C912">
        <v>428.2256486</v>
      </c>
      <c r="D912" s="2">
        <f t="shared" si="85"/>
        <v>-1.1669173752773338E-2</v>
      </c>
      <c r="E912" s="2">
        <f t="shared" ca="1" si="86"/>
        <v>3.010481686877633</v>
      </c>
      <c r="F912">
        <f t="shared" ca="1" si="87"/>
        <v>3.0173480341269081</v>
      </c>
      <c r="G912" s="3">
        <f t="shared" ca="1" si="90"/>
        <v>1.8903684552899953</v>
      </c>
      <c r="H912">
        <f t="shared" ca="1" si="88"/>
        <v>1.5961692683154864</v>
      </c>
      <c r="I912">
        <f t="shared" ca="1" si="89"/>
        <v>-2.2087715788918723</v>
      </c>
    </row>
    <row r="913" spans="1:9" x14ac:dyDescent="0.3">
      <c r="A913" s="1">
        <v>41502</v>
      </c>
      <c r="B913" t="s">
        <v>0</v>
      </c>
      <c r="C913">
        <v>426.85577330000001</v>
      </c>
      <c r="D913" s="2">
        <f t="shared" si="85"/>
        <v>-3.1989566820168971E-3</v>
      </c>
      <c r="E913" s="2">
        <f t="shared" ca="1" si="86"/>
        <v>0.58138444332856365</v>
      </c>
      <c r="F913">
        <f t="shared" ca="1" si="87"/>
        <v>0.59294736067864751</v>
      </c>
      <c r="G913" s="3">
        <f t="shared" ca="1" si="90"/>
        <v>1.8990735373372587</v>
      </c>
      <c r="H913">
        <f t="shared" ca="1" si="88"/>
        <v>0.31222980522915122</v>
      </c>
      <c r="I913">
        <f t="shared" ca="1" si="89"/>
        <v>1.0452701973746199</v>
      </c>
    </row>
    <row r="914" spans="1:9" x14ac:dyDescent="0.3">
      <c r="A914" s="1">
        <v>41505</v>
      </c>
      <c r="B914" t="s">
        <v>0</v>
      </c>
      <c r="C914">
        <v>431.20944909999997</v>
      </c>
      <c r="D914" s="2">
        <f t="shared" si="85"/>
        <v>1.0199407088586196E-2</v>
      </c>
      <c r="E914" s="2">
        <f t="shared" ca="1" si="86"/>
        <v>2.6673549804908494</v>
      </c>
      <c r="F914">
        <f t="shared" ca="1" si="87"/>
        <v>2.6755751547801521</v>
      </c>
      <c r="G914" s="3">
        <f t="shared" ca="1" si="90"/>
        <v>1.8921062402493316</v>
      </c>
      <c r="H914">
        <f t="shared" ca="1" si="88"/>
        <v>1.4140723696506488</v>
      </c>
      <c r="I914">
        <f t="shared" ca="1" si="89"/>
        <v>-1.9683432684088604</v>
      </c>
    </row>
    <row r="915" spans="1:9" x14ac:dyDescent="0.3">
      <c r="A915" s="1">
        <v>41506</v>
      </c>
      <c r="B915" t="s">
        <v>0</v>
      </c>
      <c r="C915">
        <v>431.09488599999997</v>
      </c>
      <c r="D915" s="2">
        <f t="shared" si="85"/>
        <v>-2.6567854725611584E-4</v>
      </c>
      <c r="E915" s="2">
        <f t="shared" ca="1" si="86"/>
        <v>-2.1844943516741089</v>
      </c>
      <c r="F915">
        <f t="shared" ca="1" si="87"/>
        <v>-2.1855434826201061</v>
      </c>
      <c r="G915" s="3">
        <f t="shared" ca="1" si="90"/>
        <v>1.8973077933012588</v>
      </c>
      <c r="H915">
        <f t="shared" ca="1" si="88"/>
        <v>-1.1519182550857106</v>
      </c>
      <c r="I915">
        <f t="shared" ca="1" si="89"/>
        <v>-1.563729076943452</v>
      </c>
    </row>
    <row r="916" spans="1:9" x14ac:dyDescent="0.3">
      <c r="A916" s="1">
        <v>41507</v>
      </c>
      <c r="B916" t="s">
        <v>0</v>
      </c>
      <c r="C916">
        <v>433.0425821</v>
      </c>
      <c r="D916" s="2">
        <f t="shared" si="85"/>
        <v>4.5180218166634206E-3</v>
      </c>
      <c r="E916" s="2">
        <f t="shared" ca="1" si="86"/>
        <v>-2.1102435132056514</v>
      </c>
      <c r="F916">
        <f t="shared" ca="1" si="87"/>
        <v>-2.1165154341572441</v>
      </c>
      <c r="G916" s="3">
        <f t="shared" ca="1" si="90"/>
        <v>1.8981614710265977</v>
      </c>
      <c r="H916">
        <f t="shared" ca="1" si="88"/>
        <v>-1.1150344512116519</v>
      </c>
      <c r="I916">
        <f t="shared" ca="1" si="89"/>
        <v>-1.4995467032435126</v>
      </c>
    </row>
    <row r="917" spans="1:9" x14ac:dyDescent="0.3">
      <c r="A917" s="1">
        <v>41508</v>
      </c>
      <c r="B917" t="s">
        <v>0</v>
      </c>
      <c r="C917">
        <v>435.2244096</v>
      </c>
      <c r="D917" s="2">
        <f t="shared" si="85"/>
        <v>5.0383671033444937E-3</v>
      </c>
      <c r="E917" s="2">
        <f t="shared" ca="1" si="86"/>
        <v>-3.9230005935424583</v>
      </c>
      <c r="F917">
        <f t="shared" ca="1" si="87"/>
        <v>-3.9241822743538513</v>
      </c>
      <c r="G917" s="3">
        <f t="shared" ca="1" si="90"/>
        <v>1.8984724675230837</v>
      </c>
      <c r="H917">
        <f t="shared" ca="1" si="88"/>
        <v>-2.0670209031125371</v>
      </c>
      <c r="I917">
        <f t="shared" ca="1" si="89"/>
        <v>-2.7343176320404647</v>
      </c>
    </row>
    <row r="918" spans="1:9" x14ac:dyDescent="0.3">
      <c r="A918" s="1">
        <v>41509</v>
      </c>
      <c r="B918" t="s">
        <v>0</v>
      </c>
      <c r="C918">
        <v>433.4809679</v>
      </c>
      <c r="D918" s="2">
        <f t="shared" si="85"/>
        <v>-4.0058454019211457E-3</v>
      </c>
      <c r="E918" s="2">
        <f t="shared" ca="1" si="86"/>
        <v>2.1517619510604353</v>
      </c>
      <c r="F918">
        <f t="shared" ca="1" si="87"/>
        <v>2.1474463268479398</v>
      </c>
      <c r="G918" s="3">
        <f t="shared" ca="1" si="90"/>
        <v>1.9178569796426348</v>
      </c>
      <c r="H918">
        <f t="shared" ca="1" si="88"/>
        <v>1.1197114016541971</v>
      </c>
      <c r="I918">
        <f t="shared" ca="1" si="89"/>
        <v>-1.528562242205793</v>
      </c>
    </row>
    <row r="919" spans="1:9" x14ac:dyDescent="0.3">
      <c r="A919" s="1">
        <v>41512</v>
      </c>
      <c r="B919" t="s">
        <v>0</v>
      </c>
      <c r="C919">
        <v>431.5780714</v>
      </c>
      <c r="D919" s="2">
        <f t="shared" si="85"/>
        <v>-4.3898040304251084E-3</v>
      </c>
      <c r="E919" s="2">
        <f t="shared" ca="1" si="86"/>
        <v>-0.15078347010777732</v>
      </c>
      <c r="F919">
        <f t="shared" ca="1" si="87"/>
        <v>-0.15272644000581381</v>
      </c>
      <c r="G919" s="3">
        <f t="shared" ca="1" si="90"/>
        <v>1.9179307599035444</v>
      </c>
      <c r="H919">
        <f t="shared" ca="1" si="88"/>
        <v>-7.9630841320619233E-2</v>
      </c>
      <c r="I919">
        <f t="shared" ca="1" si="89"/>
        <v>3.757387707962728</v>
      </c>
    </row>
    <row r="920" spans="1:9" x14ac:dyDescent="0.3">
      <c r="A920" s="1">
        <v>41513</v>
      </c>
      <c r="B920" t="s">
        <v>0</v>
      </c>
      <c r="C920">
        <v>423.48839700000002</v>
      </c>
      <c r="D920" s="2">
        <f t="shared" si="85"/>
        <v>-1.8744405557395007E-2</v>
      </c>
      <c r="E920" s="2">
        <f t="shared" ca="1" si="86"/>
        <v>1.1899841792292285</v>
      </c>
      <c r="F920">
        <f t="shared" ca="1" si="87"/>
        <v>1.1937874937852504</v>
      </c>
      <c r="G920" s="3">
        <f t="shared" ca="1" si="90"/>
        <v>1.910170903607739</v>
      </c>
      <c r="H920">
        <f t="shared" ca="1" si="88"/>
        <v>0.62496370954585501</v>
      </c>
      <c r="I920">
        <f t="shared" ca="1" si="89"/>
        <v>-0.35450858253238293</v>
      </c>
    </row>
    <row r="921" spans="1:9" x14ac:dyDescent="0.3">
      <c r="A921" s="1">
        <v>41514</v>
      </c>
      <c r="B921" t="s">
        <v>0</v>
      </c>
      <c r="C921">
        <v>422.69136800000001</v>
      </c>
      <c r="D921" s="2">
        <f t="shared" si="85"/>
        <v>-1.882056286892812E-3</v>
      </c>
      <c r="E921" s="2">
        <f t="shared" ca="1" si="86"/>
        <v>2.2335279225401186</v>
      </c>
      <c r="F921">
        <f t="shared" ca="1" si="87"/>
        <v>2.2418503729545112</v>
      </c>
      <c r="G921" s="3">
        <f t="shared" ca="1" si="90"/>
        <v>1.9049245297644242</v>
      </c>
      <c r="H921">
        <f t="shared" ca="1" si="88"/>
        <v>1.1768709667630526</v>
      </c>
      <c r="I921">
        <f t="shared" ca="1" si="89"/>
        <v>-1.6146038732221792</v>
      </c>
    </row>
    <row r="922" spans="1:9" x14ac:dyDescent="0.3">
      <c r="A922" s="1">
        <v>41515</v>
      </c>
      <c r="B922" t="s">
        <v>0</v>
      </c>
      <c r="C922">
        <v>426.11852859999999</v>
      </c>
      <c r="D922" s="2">
        <f t="shared" si="85"/>
        <v>8.1079502905769749E-3</v>
      </c>
      <c r="E922" s="2">
        <f t="shared" ca="1" si="86"/>
        <v>-0.72680459991228019</v>
      </c>
      <c r="F922">
        <f t="shared" ca="1" si="87"/>
        <v>-0.7145713563291779</v>
      </c>
      <c r="G922" s="3">
        <f t="shared" ca="1" si="90"/>
        <v>1.9060250866688404</v>
      </c>
      <c r="H922">
        <f t="shared" ca="1" si="88"/>
        <v>-0.37490133856424424</v>
      </c>
      <c r="I922">
        <f t="shared" ca="1" si="89"/>
        <v>0.67201609022637598</v>
      </c>
    </row>
    <row r="923" spans="1:9" x14ac:dyDescent="0.3">
      <c r="A923" s="1">
        <v>41516</v>
      </c>
      <c r="B923" t="s">
        <v>0</v>
      </c>
      <c r="C923">
        <v>421.86946719999997</v>
      </c>
      <c r="D923" s="2">
        <f t="shared" si="85"/>
        <v>-9.9715480900588477E-3</v>
      </c>
      <c r="E923" s="2">
        <f t="shared" ca="1" si="86"/>
        <v>-1.1700478229835554</v>
      </c>
      <c r="F923">
        <f t="shared" ca="1" si="87"/>
        <v>-1.1712933833192227</v>
      </c>
      <c r="G923" s="3">
        <f t="shared" ca="1" si="90"/>
        <v>1.8992493545892195</v>
      </c>
      <c r="H923">
        <f t="shared" ca="1" si="88"/>
        <v>-0.6167138509164094</v>
      </c>
      <c r="I923">
        <f t="shared" ca="1" si="89"/>
        <v>-0.31628966407328796</v>
      </c>
    </row>
    <row r="924" spans="1:9" x14ac:dyDescent="0.3">
      <c r="A924" s="1">
        <v>41520</v>
      </c>
      <c r="B924" t="s">
        <v>0</v>
      </c>
      <c r="C924">
        <v>428.58429189999998</v>
      </c>
      <c r="D924" s="2">
        <f t="shared" si="85"/>
        <v>1.591683025692078E-2</v>
      </c>
      <c r="E924" s="2">
        <f t="shared" ca="1" si="86"/>
        <v>0.21516489657337942</v>
      </c>
      <c r="F924">
        <f t="shared" ca="1" si="87"/>
        <v>0.21308927373155606</v>
      </c>
      <c r="G924" s="3">
        <f t="shared" ca="1" si="90"/>
        <v>1.8940756289828611</v>
      </c>
      <c r="H924">
        <f t="shared" ca="1" si="88"/>
        <v>0.11250304394972195</v>
      </c>
      <c r="I924">
        <f t="shared" ca="1" si="89"/>
        <v>3.0865087191322331</v>
      </c>
    </row>
    <row r="925" spans="1:9" x14ac:dyDescent="0.3">
      <c r="A925" s="1">
        <v>41521</v>
      </c>
      <c r="B925" t="s">
        <v>0</v>
      </c>
      <c r="C925">
        <v>434.18830559999998</v>
      </c>
      <c r="D925" s="2">
        <f t="shared" si="85"/>
        <v>1.307563950875633E-2</v>
      </c>
      <c r="E925" s="2">
        <f t="shared" ca="1" si="86"/>
        <v>-1.5152315304295152</v>
      </c>
      <c r="F925">
        <f t="shared" ca="1" si="87"/>
        <v>-1.5137681290686236</v>
      </c>
      <c r="G925" s="3">
        <f t="shared" ca="1" si="90"/>
        <v>1.8866263393807126</v>
      </c>
      <c r="H925">
        <f t="shared" ca="1" si="88"/>
        <v>-0.80236774896587093</v>
      </c>
      <c r="I925">
        <f t="shared" ca="1" si="89"/>
        <v>-0.82927859589263653</v>
      </c>
    </row>
    <row r="926" spans="1:9" x14ac:dyDescent="0.3">
      <c r="A926" s="1">
        <v>41522</v>
      </c>
      <c r="B926" t="s">
        <v>0</v>
      </c>
      <c r="C926">
        <v>438.13850780000001</v>
      </c>
      <c r="D926" s="2">
        <f t="shared" si="85"/>
        <v>9.0979009546129867E-3</v>
      </c>
      <c r="E926" s="2">
        <f t="shared" ca="1" si="86"/>
        <v>3.3050098021244745</v>
      </c>
      <c r="F926">
        <f t="shared" ca="1" si="87"/>
        <v>3.2911997406707241</v>
      </c>
      <c r="G926" s="3">
        <f t="shared" ca="1" si="90"/>
        <v>1.8832940974273495</v>
      </c>
      <c r="H926">
        <f t="shared" ca="1" si="88"/>
        <v>1.7475760929568178</v>
      </c>
      <c r="I926">
        <f t="shared" ca="1" si="89"/>
        <v>-2.3825119636611105</v>
      </c>
    </row>
    <row r="927" spans="1:9" x14ac:dyDescent="0.3">
      <c r="A927" s="1">
        <v>41523</v>
      </c>
      <c r="B927" t="s">
        <v>0</v>
      </c>
      <c r="C927">
        <v>438.14845650000001</v>
      </c>
      <c r="D927" s="2">
        <f t="shared" si="85"/>
        <v>2.2706746434934952E-5</v>
      </c>
      <c r="E927" s="2">
        <f t="shared" ca="1" si="86"/>
        <v>-1.2279761418779307</v>
      </c>
      <c r="F927">
        <f t="shared" ca="1" si="87"/>
        <v>-1.2388309790668028</v>
      </c>
      <c r="G927" s="3">
        <f t="shared" ca="1" si="90"/>
        <v>1.8953525643808622</v>
      </c>
      <c r="H927">
        <f t="shared" ca="1" si="88"/>
        <v>-0.65361505946070808</v>
      </c>
      <c r="I927">
        <f t="shared" ca="1" si="89"/>
        <v>-0.42833635258246566</v>
      </c>
    </row>
    <row r="928" spans="1:9" x14ac:dyDescent="0.3">
      <c r="A928" s="1">
        <v>41526</v>
      </c>
      <c r="B928" t="s">
        <v>0</v>
      </c>
      <c r="C928">
        <v>442.36767140000001</v>
      </c>
      <c r="D928" s="2">
        <f t="shared" si="85"/>
        <v>9.6296468409446442E-3</v>
      </c>
      <c r="E928" s="2">
        <f t="shared" ca="1" si="86"/>
        <v>-2.4212271745313534</v>
      </c>
      <c r="F928">
        <f t="shared" ca="1" si="87"/>
        <v>-2.4268991777789557</v>
      </c>
      <c r="G928" s="3">
        <f t="shared" ca="1" si="90"/>
        <v>1.890525998127339</v>
      </c>
      <c r="H928">
        <f t="shared" ca="1" si="88"/>
        <v>-1.2837163732119639</v>
      </c>
      <c r="I928">
        <f t="shared" ca="1" si="89"/>
        <v>-1.773244512017303</v>
      </c>
    </row>
    <row r="929" spans="1:9" x14ac:dyDescent="0.3">
      <c r="A929" s="1">
        <v>41527</v>
      </c>
      <c r="B929" t="s">
        <v>0</v>
      </c>
      <c r="C929">
        <v>442.67650980000002</v>
      </c>
      <c r="D929" s="2">
        <f t="shared" si="85"/>
        <v>6.9814866674728997E-4</v>
      </c>
      <c r="E929" s="2">
        <f t="shared" ca="1" si="86"/>
        <v>5.4043743548624984E-2</v>
      </c>
      <c r="F929">
        <f t="shared" ca="1" si="87"/>
        <v>5.1158376239842596E-2</v>
      </c>
      <c r="G929" s="3">
        <f t="shared" ca="1" si="90"/>
        <v>1.8935251686433219</v>
      </c>
      <c r="H929">
        <f t="shared" ca="1" si="88"/>
        <v>2.701753168482925E-2</v>
      </c>
      <c r="I929">
        <f t="shared" ca="1" si="89"/>
        <v>5.9454718478362825</v>
      </c>
    </row>
    <row r="930" spans="1:9" x14ac:dyDescent="0.3">
      <c r="A930" s="1">
        <v>41528</v>
      </c>
      <c r="B930" t="s">
        <v>0</v>
      </c>
      <c r="C930">
        <v>446.42245750000001</v>
      </c>
      <c r="D930" s="2">
        <f t="shared" si="85"/>
        <v>8.4620430880608423E-3</v>
      </c>
      <c r="E930" s="2">
        <f t="shared" ca="1" si="86"/>
        <v>2.5934526495423795</v>
      </c>
      <c r="F930">
        <f t="shared" ca="1" si="87"/>
        <v>2.5872481364495945</v>
      </c>
      <c r="G930" s="3">
        <f t="shared" ca="1" si="90"/>
        <v>1.8860061513168735</v>
      </c>
      <c r="H930">
        <f t="shared" ca="1" si="88"/>
        <v>1.3718132014803293</v>
      </c>
      <c r="I930">
        <f t="shared" ca="1" si="89"/>
        <v>-1.9012003278701985</v>
      </c>
    </row>
    <row r="931" spans="1:9" x14ac:dyDescent="0.3">
      <c r="A931" s="1">
        <v>41529</v>
      </c>
      <c r="B931" t="s">
        <v>0</v>
      </c>
      <c r="C931">
        <v>444.86331159999997</v>
      </c>
      <c r="D931" s="2">
        <f t="shared" si="85"/>
        <v>-3.4925346469605704E-3</v>
      </c>
      <c r="E931" s="2">
        <f t="shared" ca="1" si="86"/>
        <v>-0.80897791729419932</v>
      </c>
      <c r="F931">
        <f t="shared" ca="1" si="87"/>
        <v>-0.81193574096887899</v>
      </c>
      <c r="G931" s="3">
        <f t="shared" ca="1" si="90"/>
        <v>1.8905693568407429</v>
      </c>
      <c r="H931">
        <f t="shared" ca="1" si="88"/>
        <v>-0.42946625471898758</v>
      </c>
      <c r="I931">
        <f t="shared" ca="1" si="89"/>
        <v>0.41664965455085301</v>
      </c>
    </row>
    <row r="932" spans="1:9" x14ac:dyDescent="0.3">
      <c r="A932" s="1">
        <v>41530</v>
      </c>
      <c r="B932" t="s">
        <v>0</v>
      </c>
      <c r="C932">
        <v>442.87575939999999</v>
      </c>
      <c r="D932" s="2">
        <f t="shared" si="85"/>
        <v>-4.4677817841429343E-3</v>
      </c>
      <c r="E932" s="2">
        <f t="shared" ca="1" si="86"/>
        <v>-0.50256211506027904</v>
      </c>
      <c r="F932">
        <f t="shared" ca="1" si="87"/>
        <v>-0.50679004821543083</v>
      </c>
      <c r="G932" s="3">
        <f t="shared" ca="1" si="90"/>
        <v>1.8842560893847462</v>
      </c>
      <c r="H932">
        <f t="shared" ca="1" si="88"/>
        <v>-0.2689602814981002</v>
      </c>
      <c r="I932">
        <f t="shared" ca="1" si="89"/>
        <v>1.3592392153833188</v>
      </c>
    </row>
    <row r="933" spans="1:9" x14ac:dyDescent="0.3">
      <c r="A933" s="1">
        <v>41533</v>
      </c>
      <c r="B933" t="s">
        <v>0</v>
      </c>
      <c r="C933">
        <v>442.22320089999999</v>
      </c>
      <c r="D933" s="2">
        <f t="shared" si="85"/>
        <v>-1.4734572533029854E-3</v>
      </c>
      <c r="E933" s="2">
        <f t="shared" ca="1" si="86"/>
        <v>-0.56831789450718195</v>
      </c>
      <c r="F933">
        <f t="shared" ca="1" si="87"/>
        <v>-0.5648109665918829</v>
      </c>
      <c r="G933" s="3">
        <f t="shared" ca="1" si="90"/>
        <v>1.8773010535935137</v>
      </c>
      <c r="H933">
        <f t="shared" ca="1" si="88"/>
        <v>-0.30086328748962587</v>
      </c>
      <c r="I933">
        <f t="shared" ca="1" si="89"/>
        <v>1.1425215468046144</v>
      </c>
    </row>
    <row r="934" spans="1:9" x14ac:dyDescent="0.3">
      <c r="A934" s="1">
        <v>41534</v>
      </c>
      <c r="B934" t="s">
        <v>0</v>
      </c>
      <c r="C934">
        <v>441.4012697</v>
      </c>
      <c r="D934" s="2">
        <f t="shared" si="85"/>
        <v>-1.8586342786340105E-3</v>
      </c>
      <c r="E934" s="2">
        <f t="shared" ca="1" si="86"/>
        <v>3.4081060933554008</v>
      </c>
      <c r="F934">
        <f t="shared" ca="1" si="87"/>
        <v>3.4113275003495609</v>
      </c>
      <c r="G934" s="3">
        <f t="shared" ca="1" si="90"/>
        <v>1.8705438768892908</v>
      </c>
      <c r="H934">
        <f t="shared" ca="1" si="88"/>
        <v>1.8237088915671891</v>
      </c>
      <c r="I934">
        <f t="shared" ca="1" si="89"/>
        <v>-2.4542033205116924</v>
      </c>
    </row>
    <row r="935" spans="1:9" x14ac:dyDescent="0.3">
      <c r="A935" s="1">
        <v>41535</v>
      </c>
      <c r="B935" t="s">
        <v>0</v>
      </c>
      <c r="C935">
        <v>449.97416040000002</v>
      </c>
      <c r="D935" s="2">
        <f t="shared" si="85"/>
        <v>1.9421989215904642E-2</v>
      </c>
      <c r="E935" s="2">
        <f t="shared" ca="1" si="86"/>
        <v>0.55672402836385315</v>
      </c>
      <c r="F935">
        <f t="shared" ca="1" si="87"/>
        <v>0.55819572583823229</v>
      </c>
      <c r="G935" s="3">
        <f t="shared" ca="1" si="90"/>
        <v>1.8846130267594126</v>
      </c>
      <c r="H935">
        <f t="shared" ca="1" si="88"/>
        <v>0.29618585773974432</v>
      </c>
      <c r="I935">
        <f t="shared" ca="1" si="89"/>
        <v>1.1648805916207996</v>
      </c>
    </row>
    <row r="936" spans="1:9" x14ac:dyDescent="0.3">
      <c r="A936" s="1">
        <v>41536</v>
      </c>
      <c r="B936" t="s">
        <v>0</v>
      </c>
      <c r="C936">
        <v>447.5183758</v>
      </c>
      <c r="D936" s="2">
        <f t="shared" si="85"/>
        <v>-5.4576124944973959E-3</v>
      </c>
      <c r="E936" s="2">
        <f t="shared" ca="1" si="86"/>
        <v>-1.4917171965688061</v>
      </c>
      <c r="F936">
        <f t="shared" ca="1" si="87"/>
        <v>-1.4963507971123464</v>
      </c>
      <c r="G936" s="3">
        <f t="shared" ca="1" si="90"/>
        <v>1.8777523202633029</v>
      </c>
      <c r="H936">
        <f t="shared" ca="1" si="88"/>
        <v>-0.79688400912348467</v>
      </c>
      <c r="I936">
        <f t="shared" ca="1" si="89"/>
        <v>-0.8060719868862265</v>
      </c>
    </row>
    <row r="937" spans="1:9" x14ac:dyDescent="0.3">
      <c r="A937" s="1">
        <v>41537</v>
      </c>
      <c r="B937" t="s">
        <v>0</v>
      </c>
      <c r="C937">
        <v>449.86954600000001</v>
      </c>
      <c r="D937" s="2">
        <f t="shared" si="85"/>
        <v>5.2537958822293637E-3</v>
      </c>
      <c r="E937" s="2">
        <f t="shared" ca="1" si="86"/>
        <v>-2.9320105821435578</v>
      </c>
      <c r="F937">
        <f t="shared" ca="1" si="87"/>
        <v>-2.9424773192574745</v>
      </c>
      <c r="G937" s="3">
        <f t="shared" ca="1" si="90"/>
        <v>1.8744842916570108</v>
      </c>
      <c r="H937">
        <f t="shared" ca="1" si="88"/>
        <v>-1.5697529887841188</v>
      </c>
      <c r="I937">
        <f t="shared" ca="1" si="89"/>
        <v>-2.1585068922908843</v>
      </c>
    </row>
    <row r="938" spans="1:9" x14ac:dyDescent="0.3">
      <c r="A938" s="1">
        <v>41540</v>
      </c>
      <c r="B938" t="s">
        <v>0</v>
      </c>
      <c r="C938">
        <v>441.59554500000002</v>
      </c>
      <c r="D938" s="2">
        <f t="shared" si="85"/>
        <v>-1.8392000689017519E-2</v>
      </c>
      <c r="E938" s="2">
        <f t="shared" ca="1" si="86"/>
        <v>-0.63517180669338458</v>
      </c>
      <c r="F938">
        <f t="shared" ca="1" si="87"/>
        <v>-0.63333986977950363</v>
      </c>
      <c r="G938" s="3">
        <f t="shared" ca="1" si="90"/>
        <v>1.8829717721758772</v>
      </c>
      <c r="H938">
        <f t="shared" ca="1" si="88"/>
        <v>-0.33635122901903342</v>
      </c>
      <c r="I938">
        <f t="shared" ca="1" si="89"/>
        <v>0.91265285943287855</v>
      </c>
    </row>
    <row r="939" spans="1:9" x14ac:dyDescent="0.3">
      <c r="A939" s="1">
        <v>41541</v>
      </c>
      <c r="B939" t="s">
        <v>0</v>
      </c>
      <c r="C939">
        <v>441.76491759999999</v>
      </c>
      <c r="D939" s="2">
        <f t="shared" si="85"/>
        <v>3.8354689470423487E-4</v>
      </c>
      <c r="E939" s="2">
        <f t="shared" ca="1" si="86"/>
        <v>0.29847985098071766</v>
      </c>
      <c r="F939">
        <f t="shared" ca="1" si="87"/>
        <v>0.30069218862261027</v>
      </c>
      <c r="G939" s="3">
        <f t="shared" ca="1" si="90"/>
        <v>1.8762930019445136</v>
      </c>
      <c r="H939">
        <f t="shared" ca="1" si="88"/>
        <v>0.16025865273226789</v>
      </c>
      <c r="I939">
        <f t="shared" ca="1" si="89"/>
        <v>2.4033347062528598</v>
      </c>
    </row>
    <row r="940" spans="1:9" x14ac:dyDescent="0.3">
      <c r="A940" s="1">
        <v>41542</v>
      </c>
      <c r="B940" t="s">
        <v>0</v>
      </c>
      <c r="C940">
        <v>436.97786120000001</v>
      </c>
      <c r="D940" s="2">
        <f t="shared" si="85"/>
        <v>-1.0836207696181223E-2</v>
      </c>
      <c r="E940" s="2">
        <f t="shared" ca="1" si="86"/>
        <v>2.4990588406605445</v>
      </c>
      <c r="F940">
        <f t="shared" ca="1" si="87"/>
        <v>2.5103971183250771</v>
      </c>
      <c r="G940" s="3">
        <f t="shared" ca="1" si="90"/>
        <v>1.8691308020949302</v>
      </c>
      <c r="H940">
        <f t="shared" ca="1" si="88"/>
        <v>1.3430826325859124</v>
      </c>
      <c r="I940">
        <f t="shared" ca="1" si="89"/>
        <v>-1.8409005426448148</v>
      </c>
    </row>
    <row r="941" spans="1:9" x14ac:dyDescent="0.3">
      <c r="A941" s="1">
        <v>41543</v>
      </c>
      <c r="B941" t="s">
        <v>0</v>
      </c>
      <c r="C941">
        <v>437.44609309999998</v>
      </c>
      <c r="D941" s="2">
        <f t="shared" si="85"/>
        <v>1.0715231630136824E-3</v>
      </c>
      <c r="E941" s="2">
        <f t="shared" ca="1" si="86"/>
        <v>-0.41268728712935171</v>
      </c>
      <c r="F941">
        <f t="shared" ca="1" si="87"/>
        <v>-0.40969513787237682</v>
      </c>
      <c r="G941" s="3">
        <f t="shared" ca="1" si="90"/>
        <v>1.8734932826063642</v>
      </c>
      <c r="H941">
        <f t="shared" ca="1" si="88"/>
        <v>-0.2186798008170158</v>
      </c>
      <c r="I941">
        <f t="shared" ca="1" si="89"/>
        <v>1.7846770836621628</v>
      </c>
    </row>
    <row r="942" spans="1:9" x14ac:dyDescent="0.3">
      <c r="A942" s="1">
        <v>41544</v>
      </c>
      <c r="B942" t="s">
        <v>0</v>
      </c>
      <c r="C942">
        <v>436.55943409999998</v>
      </c>
      <c r="D942" s="2">
        <f t="shared" si="85"/>
        <v>-2.0268988887673501E-3</v>
      </c>
      <c r="E942" s="2">
        <f t="shared" ca="1" si="86"/>
        <v>-2.5159738172916706</v>
      </c>
      <c r="F942">
        <f t="shared" ca="1" si="87"/>
        <v>-2.5095456377195071</v>
      </c>
      <c r="G942" s="3">
        <f t="shared" ca="1" si="90"/>
        <v>1.8665058883187822</v>
      </c>
      <c r="H942">
        <f t="shared" ca="1" si="88"/>
        <v>-1.3445152535682221</v>
      </c>
      <c r="I942">
        <f t="shared" ca="1" si="89"/>
        <v>-1.8402040841970719</v>
      </c>
    </row>
    <row r="943" spans="1:9" x14ac:dyDescent="0.3">
      <c r="A943" s="1">
        <v>41547</v>
      </c>
      <c r="B943" t="s">
        <v>0</v>
      </c>
      <c r="C943">
        <v>436.32032830000003</v>
      </c>
      <c r="D943" s="2">
        <f t="shared" si="85"/>
        <v>-5.4770503469449023E-4</v>
      </c>
      <c r="E943" s="2">
        <f t="shared" ca="1" si="86"/>
        <v>2.507745416682579</v>
      </c>
      <c r="F943">
        <f t="shared" ca="1" si="87"/>
        <v>2.507682533947587</v>
      </c>
      <c r="G943" s="3">
        <f t="shared" ca="1" si="90"/>
        <v>1.8709392851220112</v>
      </c>
      <c r="H943">
        <f t="shared" ca="1" si="88"/>
        <v>1.3403334645271781</v>
      </c>
      <c r="I943">
        <f t="shared" ca="1" si="89"/>
        <v>-1.8387181144992255</v>
      </c>
    </row>
    <row r="944" spans="1:9" x14ac:dyDescent="0.3">
      <c r="A944" s="1">
        <v>41548</v>
      </c>
      <c r="B944" t="s">
        <v>0</v>
      </c>
      <c r="C944">
        <v>441.84462989999997</v>
      </c>
      <c r="D944" s="2">
        <f t="shared" si="85"/>
        <v>1.2661114419132931E-2</v>
      </c>
      <c r="E944" s="2">
        <f t="shared" ca="1" si="86"/>
        <v>0.22421849006219741</v>
      </c>
      <c r="F944">
        <f t="shared" ca="1" si="87"/>
        <v>0.22564394001979513</v>
      </c>
      <c r="G944" s="3">
        <f t="shared" ca="1" si="90"/>
        <v>1.8752227086040343</v>
      </c>
      <c r="H944">
        <f t="shared" ca="1" si="88"/>
        <v>0.12032914223173549</v>
      </c>
      <c r="I944">
        <f t="shared" ca="1" si="89"/>
        <v>2.9744455695122238</v>
      </c>
    </row>
    <row r="945" spans="1:9" x14ac:dyDescent="0.3">
      <c r="A945" s="1">
        <v>41549</v>
      </c>
      <c r="B945" t="s">
        <v>0</v>
      </c>
      <c r="C945">
        <v>442.33776399999999</v>
      </c>
      <c r="D945" s="2">
        <f t="shared" si="85"/>
        <v>1.1160803292135253E-3</v>
      </c>
      <c r="E945" s="2">
        <f t="shared" ca="1" si="86"/>
        <v>5.0194326725446929E-2</v>
      </c>
      <c r="F945">
        <f t="shared" ca="1" si="87"/>
        <v>4.6760274083117816E-2</v>
      </c>
      <c r="G945" s="3">
        <f t="shared" ca="1" si="90"/>
        <v>1.8680007519643858</v>
      </c>
      <c r="H945">
        <f t="shared" ca="1" si="88"/>
        <v>2.503225656303661E-2</v>
      </c>
      <c r="I945">
        <f t="shared" ca="1" si="89"/>
        <v>6.1248728741586529</v>
      </c>
    </row>
    <row r="946" spans="1:9" x14ac:dyDescent="0.3">
      <c r="A946" s="1">
        <v>41550</v>
      </c>
      <c r="B946" t="s">
        <v>0</v>
      </c>
      <c r="C946">
        <v>436.40998919999998</v>
      </c>
      <c r="D946" s="2">
        <f t="shared" si="85"/>
        <v>-1.3401014524276542E-2</v>
      </c>
      <c r="E946" s="2">
        <f t="shared" ca="1" si="86"/>
        <v>1.0099107309409514</v>
      </c>
      <c r="F946">
        <f t="shared" ca="1" si="87"/>
        <v>1.0016939202197446</v>
      </c>
      <c r="G946" s="3">
        <f t="shared" ca="1" si="90"/>
        <v>1.8607723407782952</v>
      </c>
      <c r="H946">
        <f t="shared" ca="1" si="88"/>
        <v>0.53832158736880809</v>
      </c>
      <c r="I946">
        <f t="shared" ca="1" si="89"/>
        <v>-3.563954629938971E-3</v>
      </c>
    </row>
    <row r="947" spans="1:9" x14ac:dyDescent="0.3">
      <c r="A947" s="1">
        <v>41551</v>
      </c>
      <c r="B947" t="s">
        <v>0</v>
      </c>
      <c r="C947">
        <v>434.54694890000002</v>
      </c>
      <c r="D947" s="2">
        <f t="shared" si="85"/>
        <v>-4.2690138771002408E-3</v>
      </c>
      <c r="E947" s="2">
        <f t="shared" ca="1" si="86"/>
        <v>2.7058237398753708</v>
      </c>
      <c r="F947">
        <f t="shared" ca="1" si="87"/>
        <v>2.7091244797395619</v>
      </c>
      <c r="G947" s="3">
        <f t="shared" ca="1" si="90"/>
        <v>1.8555008203517303</v>
      </c>
      <c r="H947">
        <f t="shared" ca="1" si="88"/>
        <v>1.4600502732335188</v>
      </c>
      <c r="I947">
        <f t="shared" ca="1" si="89"/>
        <v>-1.9932535080899316</v>
      </c>
    </row>
    <row r="948" spans="1:9" x14ac:dyDescent="0.3">
      <c r="A948" s="1">
        <v>41554</v>
      </c>
      <c r="B948" t="s">
        <v>0</v>
      </c>
      <c r="C948">
        <v>431.25430999999998</v>
      </c>
      <c r="D948" s="2">
        <f t="shared" si="85"/>
        <v>-7.5771764324543906E-3</v>
      </c>
      <c r="E948" s="2">
        <f t="shared" ca="1" si="86"/>
        <v>-0.22318470278375474</v>
      </c>
      <c r="F948">
        <f t="shared" ca="1" si="87"/>
        <v>-0.21356706289007821</v>
      </c>
      <c r="G948" s="3">
        <f t="shared" ca="1" si="90"/>
        <v>1.8622211712104835</v>
      </c>
      <c r="H948">
        <f t="shared" ca="1" si="88"/>
        <v>-0.1146840483782359</v>
      </c>
      <c r="I948">
        <f t="shared" ca="1" si="89"/>
        <v>3.0863499978672628</v>
      </c>
    </row>
    <row r="949" spans="1:9" x14ac:dyDescent="0.3">
      <c r="A949" s="1">
        <v>41555</v>
      </c>
      <c r="B949" t="s">
        <v>0</v>
      </c>
      <c r="C949">
        <v>425.24181829999998</v>
      </c>
      <c r="D949" s="2">
        <f t="shared" si="85"/>
        <v>-1.3941870401248856E-2</v>
      </c>
      <c r="E949" s="2">
        <f t="shared" ca="1" si="86"/>
        <v>-0.612960320077924</v>
      </c>
      <c r="F949">
        <f t="shared" ca="1" si="87"/>
        <v>-0.60804276708498828</v>
      </c>
      <c r="G949" s="3">
        <f t="shared" ca="1" si="90"/>
        <v>1.8551402236627146</v>
      </c>
      <c r="H949">
        <f t="shared" ca="1" si="88"/>
        <v>-0.32776108206229987</v>
      </c>
      <c r="I949">
        <f t="shared" ca="1" si="89"/>
        <v>0.99449437437905475</v>
      </c>
    </row>
    <row r="950" spans="1:9" x14ac:dyDescent="0.3">
      <c r="A950" s="1">
        <v>41556</v>
      </c>
      <c r="B950" t="s">
        <v>0</v>
      </c>
      <c r="C950">
        <v>426.33273179999998</v>
      </c>
      <c r="D950" s="2">
        <f t="shared" si="85"/>
        <v>2.5653956244500405E-3</v>
      </c>
      <c r="E950" s="2">
        <f t="shared" ca="1" si="86"/>
        <v>-0.59215978268814817</v>
      </c>
      <c r="F950">
        <f t="shared" ca="1" si="87"/>
        <v>-0.58328451601526776</v>
      </c>
      <c r="G950" s="3">
        <f t="shared" ca="1" si="90"/>
        <v>1.8487539864733511</v>
      </c>
      <c r="H950">
        <f t="shared" ca="1" si="88"/>
        <v>-0.31550142435550904</v>
      </c>
      <c r="I950">
        <f t="shared" ca="1" si="89"/>
        <v>1.0781410380634695</v>
      </c>
    </row>
    <row r="951" spans="1:9" x14ac:dyDescent="0.3">
      <c r="A951" s="1">
        <v>41557</v>
      </c>
      <c r="B951" t="s">
        <v>0</v>
      </c>
      <c r="C951">
        <v>432.49964319999998</v>
      </c>
      <c r="D951" s="2">
        <f t="shared" si="85"/>
        <v>1.4465019783873897E-2</v>
      </c>
      <c r="E951" s="2">
        <f t="shared" ca="1" si="86"/>
        <v>0.67249930609508901</v>
      </c>
      <c r="F951">
        <f t="shared" ca="1" si="87"/>
        <v>0.6804159504373013</v>
      </c>
      <c r="G951" s="3">
        <f t="shared" ca="1" si="90"/>
        <v>1.842392303047685</v>
      </c>
      <c r="H951">
        <f t="shared" ca="1" si="88"/>
        <v>0.36931111214031742</v>
      </c>
      <c r="I951">
        <f t="shared" ca="1" si="89"/>
        <v>0.76965000335053535</v>
      </c>
    </row>
    <row r="952" spans="1:9" x14ac:dyDescent="0.3">
      <c r="A952" s="1">
        <v>41558</v>
      </c>
      <c r="B952" t="s">
        <v>0</v>
      </c>
      <c r="C952">
        <v>434.36762700000003</v>
      </c>
      <c r="D952" s="2">
        <f t="shared" si="85"/>
        <v>4.3190412509455855E-3</v>
      </c>
      <c r="E952" s="2">
        <f t="shared" ca="1" si="86"/>
        <v>-1.4018497297906229</v>
      </c>
      <c r="F952">
        <f t="shared" ca="1" si="87"/>
        <v>-1.4077601621708518</v>
      </c>
      <c r="G952" s="3">
        <f t="shared" ca="1" si="90"/>
        <v>1.8363475228419668</v>
      </c>
      <c r="H952">
        <f t="shared" ca="1" si="88"/>
        <v>-0.76660879526342329</v>
      </c>
      <c r="I952">
        <f t="shared" ca="1" si="89"/>
        <v>-0.68400922048647772</v>
      </c>
    </row>
    <row r="953" spans="1:9" x14ac:dyDescent="0.3">
      <c r="A953" s="1">
        <v>41561</v>
      </c>
      <c r="B953" t="s">
        <v>0</v>
      </c>
      <c r="C953">
        <v>436.41993789999998</v>
      </c>
      <c r="D953" s="2">
        <f t="shared" si="85"/>
        <v>4.7248247162764547E-3</v>
      </c>
      <c r="E953" s="2">
        <f t="shared" ca="1" si="86"/>
        <v>-3.5091715537212447</v>
      </c>
      <c r="F953">
        <f t="shared" ca="1" si="87"/>
        <v>-3.5194666626103834</v>
      </c>
      <c r="G953" s="3">
        <f t="shared" ca="1" si="90"/>
        <v>1.8333365501221455</v>
      </c>
      <c r="H953">
        <f t="shared" ca="1" si="88"/>
        <v>-1.919705720357727</v>
      </c>
      <c r="I953">
        <f t="shared" ca="1" si="89"/>
        <v>-2.5166207259137923</v>
      </c>
    </row>
    <row r="954" spans="1:9" x14ac:dyDescent="0.3">
      <c r="A954" s="1">
        <v>41562</v>
      </c>
      <c r="B954" t="s">
        <v>0</v>
      </c>
      <c r="C954">
        <v>439.35893829999998</v>
      </c>
      <c r="D954" s="2">
        <f t="shared" si="85"/>
        <v>6.7343403560848128E-3</v>
      </c>
      <c r="E954" s="2">
        <f t="shared" ca="1" si="86"/>
        <v>2.796848910383321</v>
      </c>
      <c r="F954">
        <f t="shared" ca="1" si="87"/>
        <v>2.792750678215981</v>
      </c>
      <c r="G954" s="3">
        <f t="shared" ca="1" si="90"/>
        <v>1.8505943394374023</v>
      </c>
      <c r="H954">
        <f t="shared" ca="1" si="88"/>
        <v>1.5091101375923386</v>
      </c>
      <c r="I954">
        <f t="shared" ca="1" si="89"/>
        <v>-2.0540598473148171</v>
      </c>
    </row>
    <row r="955" spans="1:9" x14ac:dyDescent="0.3">
      <c r="A955" s="1">
        <v>41563</v>
      </c>
      <c r="B955" t="s">
        <v>0</v>
      </c>
      <c r="C955">
        <v>447.33902399999999</v>
      </c>
      <c r="D955" s="2">
        <f t="shared" si="85"/>
        <v>1.8163021175527132E-2</v>
      </c>
      <c r="E955" s="2">
        <f t="shared" ca="1" si="86"/>
        <v>3.7844566894166136</v>
      </c>
      <c r="F955">
        <f t="shared" ca="1" si="87"/>
        <v>3.7795066091093714</v>
      </c>
      <c r="G955" s="3">
        <f t="shared" ca="1" si="90"/>
        <v>1.8583495881408016</v>
      </c>
      <c r="H955">
        <f t="shared" ca="1" si="88"/>
        <v>2.0337974260755773</v>
      </c>
      <c r="I955">
        <f t="shared" ca="1" si="89"/>
        <v>-2.6592100432045447</v>
      </c>
    </row>
    <row r="956" spans="1:9" x14ac:dyDescent="0.3">
      <c r="A956" s="1">
        <v>41564</v>
      </c>
      <c r="B956" t="s">
        <v>0</v>
      </c>
      <c r="C956">
        <v>442.73626330000002</v>
      </c>
      <c r="D956" s="2">
        <f t="shared" si="85"/>
        <v>-1.0289200031875547E-2</v>
      </c>
      <c r="E956" s="2">
        <f t="shared" ca="1" si="86"/>
        <v>-4.9405303984325846</v>
      </c>
      <c r="F956">
        <f t="shared" ca="1" si="87"/>
        <v>-4.9501394351442771</v>
      </c>
      <c r="G956" s="3">
        <f t="shared" ca="1" si="90"/>
        <v>1.8778898510982573</v>
      </c>
      <c r="H956">
        <f t="shared" ca="1" si="88"/>
        <v>-2.6360116021976783</v>
      </c>
      <c r="I956">
        <f t="shared" ca="1" si="89"/>
        <v>-3.1988358102435281</v>
      </c>
    </row>
    <row r="957" spans="1:9" x14ac:dyDescent="0.3">
      <c r="A957" s="1">
        <v>41565</v>
      </c>
      <c r="B957" t="s">
        <v>0</v>
      </c>
      <c r="C957">
        <v>503.81742259999999</v>
      </c>
      <c r="D957" s="2">
        <f t="shared" si="85"/>
        <v>0.13796285591047489</v>
      </c>
      <c r="E957" s="2">
        <f t="shared" ca="1" si="86"/>
        <v>-2.2680919511845183</v>
      </c>
      <c r="F957">
        <f t="shared" ca="1" si="87"/>
        <v>-2.2763341206304832</v>
      </c>
      <c r="G957" s="3">
        <f t="shared" ca="1" si="90"/>
        <v>1.9146694477801658</v>
      </c>
      <c r="H957">
        <f t="shared" ca="1" si="88"/>
        <v>-1.1888914419507894</v>
      </c>
      <c r="I957">
        <f t="shared" ca="1" si="89"/>
        <v>-1.6488058799774916</v>
      </c>
    </row>
    <row r="958" spans="1:9" x14ac:dyDescent="0.3">
      <c r="A958" s="1">
        <v>41568</v>
      </c>
      <c r="B958" t="s">
        <v>0</v>
      </c>
      <c r="C958">
        <v>499.77755999999999</v>
      </c>
      <c r="D958" s="2">
        <f t="shared" si="85"/>
        <v>-8.0185051544106566E-3</v>
      </c>
      <c r="E958" s="2">
        <f t="shared" ca="1" si="86"/>
        <v>-3.0386314457590431</v>
      </c>
      <c r="F958">
        <f t="shared" ca="1" si="87"/>
        <v>-3.0733601505904744</v>
      </c>
      <c r="G958" s="3">
        <f t="shared" ca="1" si="90"/>
        <v>1.9157943006640377</v>
      </c>
      <c r="H958">
        <f t="shared" ca="1" si="88"/>
        <v>-1.6042224102687905</v>
      </c>
      <c r="I958">
        <f t="shared" ca="1" si="89"/>
        <v>-2.2455497563672129</v>
      </c>
    </row>
    <row r="959" spans="1:9" x14ac:dyDescent="0.3">
      <c r="A959" s="1">
        <v>41569</v>
      </c>
      <c r="B959" t="s">
        <v>0</v>
      </c>
      <c r="C959">
        <v>501.62067209999998</v>
      </c>
      <c r="D959" s="2">
        <f t="shared" si="85"/>
        <v>3.6878648573176933E-3</v>
      </c>
      <c r="E959" s="2">
        <f t="shared" ca="1" si="86"/>
        <v>2.328305417459918</v>
      </c>
      <c r="F959">
        <f t="shared" ca="1" si="87"/>
        <v>2.2447872437995491</v>
      </c>
      <c r="G959" s="3">
        <f t="shared" ca="1" si="90"/>
        <v>1.9241609333759124</v>
      </c>
      <c r="H959">
        <f t="shared" ca="1" si="88"/>
        <v>1.1666317535410629</v>
      </c>
      <c r="I959">
        <f t="shared" ca="1" si="89"/>
        <v>-1.6172241945686858</v>
      </c>
    </row>
    <row r="960" spans="1:9" x14ac:dyDescent="0.3">
      <c r="A960" s="1">
        <v>41570</v>
      </c>
      <c r="B960" t="s">
        <v>0</v>
      </c>
      <c r="C960">
        <v>513.78011700000002</v>
      </c>
      <c r="D960" s="2">
        <f t="shared" si="85"/>
        <v>2.4240318583951835E-2</v>
      </c>
      <c r="E960" s="2">
        <f t="shared" ca="1" si="86"/>
        <v>3.8264114123228072</v>
      </c>
      <c r="F960">
        <f t="shared" ca="1" si="87"/>
        <v>3.8303049151531394</v>
      </c>
      <c r="G960" s="3">
        <f t="shared" ca="1" si="90"/>
        <v>1.9248082120972494</v>
      </c>
      <c r="H960">
        <f t="shared" ca="1" si="88"/>
        <v>1.989967047667405</v>
      </c>
      <c r="I960">
        <f t="shared" ca="1" si="89"/>
        <v>-2.6859288753556303</v>
      </c>
    </row>
    <row r="961" spans="1:9" x14ac:dyDescent="0.3">
      <c r="A961" s="1">
        <v>41571</v>
      </c>
      <c r="B961" t="s">
        <v>0</v>
      </c>
      <c r="C961">
        <v>510.86104440000003</v>
      </c>
      <c r="D961" s="2">
        <f t="shared" si="85"/>
        <v>-5.6815600748520061E-3</v>
      </c>
      <c r="E961" s="2">
        <f t="shared" ca="1" si="86"/>
        <v>-0.26502750759124549</v>
      </c>
      <c r="F961">
        <f t="shared" ca="1" si="87"/>
        <v>-0.27455155412938903</v>
      </c>
      <c r="G961" s="3">
        <f t="shared" ca="1" si="90"/>
        <v>1.9416000930548361</v>
      </c>
      <c r="H961">
        <f t="shared" ca="1" si="88"/>
        <v>-0.14140479036412723</v>
      </c>
      <c r="I961">
        <f t="shared" ca="1" si="89"/>
        <v>2.5848042091008825</v>
      </c>
    </row>
    <row r="962" spans="1:9" x14ac:dyDescent="0.3">
      <c r="A962" s="1">
        <v>41572</v>
      </c>
      <c r="B962" t="s">
        <v>0</v>
      </c>
      <c r="C962">
        <v>505.70536559999999</v>
      </c>
      <c r="D962" s="2">
        <f t="shared" si="85"/>
        <v>-1.0092135339963754E-2</v>
      </c>
      <c r="E962" s="2">
        <f t="shared" ca="1" si="86"/>
        <v>-3.6384686538316187</v>
      </c>
      <c r="F962">
        <f t="shared" ca="1" si="87"/>
        <v>-3.6518689753025479</v>
      </c>
      <c r="G962" s="3">
        <f t="shared" ca="1" si="90"/>
        <v>1.9336589881782846</v>
      </c>
      <c r="H962">
        <f t="shared" ca="1" si="88"/>
        <v>-1.8885796294118036</v>
      </c>
      <c r="I962">
        <f t="shared" ca="1" si="89"/>
        <v>-2.5904858063693026</v>
      </c>
    </row>
    <row r="963" spans="1:9" x14ac:dyDescent="0.3">
      <c r="A963" s="1">
        <v>41575</v>
      </c>
      <c r="B963" t="s">
        <v>0</v>
      </c>
      <c r="C963">
        <v>505.60572509999997</v>
      </c>
      <c r="D963" s="2">
        <f t="shared" si="85"/>
        <v>-1.9703271267806555E-4</v>
      </c>
      <c r="E963" s="2">
        <f t="shared" ca="1" si="86"/>
        <v>-1.0599713186873112</v>
      </c>
      <c r="F963">
        <f t="shared" ca="1" si="87"/>
        <v>-1.0534243040110236</v>
      </c>
      <c r="G963" s="3">
        <f t="shared" ca="1" si="90"/>
        <v>1.9478159640680446</v>
      </c>
      <c r="H963">
        <f t="shared" ca="1" si="88"/>
        <v>-0.54082332388883914</v>
      </c>
      <c r="I963">
        <f t="shared" ca="1" si="89"/>
        <v>-0.10409223452191155</v>
      </c>
    </row>
    <row r="964" spans="1:9" x14ac:dyDescent="0.3">
      <c r="A964" s="1">
        <v>41576</v>
      </c>
      <c r="B964" t="s">
        <v>0</v>
      </c>
      <c r="C964">
        <v>516.18606590000002</v>
      </c>
      <c r="D964" s="2">
        <f t="shared" ref="D964:D1027" si="91">(C964-C963)/C963</f>
        <v>2.0926070008221203E-2</v>
      </c>
      <c r="E964" s="2">
        <f t="shared" ca="1" si="86"/>
        <v>-1.4335681505066693</v>
      </c>
      <c r="F964">
        <f t="shared" ca="1" si="87"/>
        <v>-1.4272250628120315</v>
      </c>
      <c r="G964" s="3">
        <f t="shared" ca="1" si="90"/>
        <v>1.9414926184753463</v>
      </c>
      <c r="H964">
        <f t="shared" ca="1" si="88"/>
        <v>-0.73511742935846502</v>
      </c>
      <c r="I964">
        <f t="shared" ca="1" si="89"/>
        <v>-0.71167906325172503</v>
      </c>
    </row>
    <row r="965" spans="1:9" x14ac:dyDescent="0.3">
      <c r="A965" s="1">
        <v>41577</v>
      </c>
      <c r="B965" t="s">
        <v>0</v>
      </c>
      <c r="C965">
        <v>513.28695200000004</v>
      </c>
      <c r="D965" s="2">
        <f t="shared" si="91"/>
        <v>-5.6164125526038822E-3</v>
      </c>
      <c r="E965" s="2">
        <f t="shared" ca="1" si="86"/>
        <v>-1.6960196258608071</v>
      </c>
      <c r="F965">
        <f t="shared" ca="1" si="87"/>
        <v>-1.7021363651244592</v>
      </c>
      <c r="G965" s="3">
        <f t="shared" ca="1" si="90"/>
        <v>1.9367847321367377</v>
      </c>
      <c r="H965">
        <f t="shared" ca="1" si="88"/>
        <v>-0.87884643909113991</v>
      </c>
      <c r="I965">
        <f t="shared" ca="1" si="89"/>
        <v>-1.0637791824511589</v>
      </c>
    </row>
    <row r="966" spans="1:9" x14ac:dyDescent="0.3">
      <c r="A966" s="1">
        <v>41578</v>
      </c>
      <c r="B966" t="s">
        <v>0</v>
      </c>
      <c r="C966">
        <v>513.3666637</v>
      </c>
      <c r="D966" s="2">
        <f t="shared" si="91"/>
        <v>1.5529656401622622E-4</v>
      </c>
      <c r="E966" s="2">
        <f t="shared" ref="E966:E1029" ca="1" si="92">$N$9*D965+$N$10*D964+F966</f>
        <v>1.239467240627762</v>
      </c>
      <c r="F966">
        <f t="shared" ref="F966:F1029" ca="1" si="93">G966*H966</f>
        <v>1.2281112660606641</v>
      </c>
      <c r="G966" s="3">
        <f t="shared" ca="1" si="90"/>
        <v>1.9335800225208539</v>
      </c>
      <c r="H966">
        <f t="shared" ref="H966:H1029" ca="1" si="94">_xlfn.NORM.S.INV(RAND())</f>
        <v>0.63514892156340463</v>
      </c>
      <c r="I966">
        <f t="shared" ref="I966:I1029" ca="1" si="95">-LN(F966^2)-(D966^2)/(F966^2)</f>
        <v>-0.41095488231317828</v>
      </c>
    </row>
    <row r="967" spans="1:9" x14ac:dyDescent="0.3">
      <c r="A967" s="1">
        <v>41579</v>
      </c>
      <c r="B967" t="s">
        <v>0</v>
      </c>
      <c r="C967">
        <v>511.6032639</v>
      </c>
      <c r="D967" s="2">
        <f t="shared" si="91"/>
        <v>-3.4349713853459199E-3</v>
      </c>
      <c r="E967" s="2">
        <f t="shared" ca="1" si="92"/>
        <v>0.97920332714440816</v>
      </c>
      <c r="F967">
        <f t="shared" ca="1" si="93"/>
        <v>0.9826543446254753</v>
      </c>
      <c r="G967" s="3">
        <f t="shared" ref="G967:G1030" ca="1" si="96">SQRT($N$6+$N$7*(H966^2)+$N$8*(G966^2))</f>
        <v>1.9281206556521142</v>
      </c>
      <c r="H967">
        <f t="shared" ca="1" si="94"/>
        <v>0.50964359608145449</v>
      </c>
      <c r="I967">
        <f t="shared" ca="1" si="95"/>
        <v>3.4983488366609854E-2</v>
      </c>
    </row>
    <row r="968" spans="1:9" x14ac:dyDescent="0.3">
      <c r="A968" s="1">
        <v>41582</v>
      </c>
      <c r="B968" t="s">
        <v>0</v>
      </c>
      <c r="C968">
        <v>511.14000629999998</v>
      </c>
      <c r="D968" s="2">
        <f t="shared" si="91"/>
        <v>-9.0550165076853397E-4</v>
      </c>
      <c r="E968" s="2">
        <f t="shared" ca="1" si="92"/>
        <v>-0.20242485042386754</v>
      </c>
      <c r="F968">
        <f t="shared" ca="1" si="93"/>
        <v>-0.20149736332502591</v>
      </c>
      <c r="G968" s="3">
        <f t="shared" ca="1" si="96"/>
        <v>1.9218312934957626</v>
      </c>
      <c r="H968">
        <f t="shared" ca="1" si="94"/>
        <v>-0.10484654090448661</v>
      </c>
      <c r="I968">
        <f t="shared" ca="1" si="95"/>
        <v>3.2039377710238788</v>
      </c>
    </row>
    <row r="969" spans="1:9" x14ac:dyDescent="0.3">
      <c r="A969" s="1">
        <v>41583</v>
      </c>
      <c r="B969" t="s">
        <v>0</v>
      </c>
      <c r="C969">
        <v>508.85356439999998</v>
      </c>
      <c r="D969" s="2">
        <f t="shared" si="91"/>
        <v>-4.47322039327525E-3</v>
      </c>
      <c r="E969" s="2">
        <f t="shared" ca="1" si="92"/>
        <v>-0.27947064817524403</v>
      </c>
      <c r="F969">
        <f t="shared" ca="1" si="93"/>
        <v>-0.27706171353822545</v>
      </c>
      <c r="G969" s="3">
        <f t="shared" ca="1" si="96"/>
        <v>1.9140566493668307</v>
      </c>
      <c r="H969">
        <f t="shared" ca="1" si="94"/>
        <v>-0.14475105197637561</v>
      </c>
      <c r="I969">
        <f t="shared" ca="1" si="95"/>
        <v>2.5667693422007547</v>
      </c>
    </row>
    <row r="970" spans="1:9" x14ac:dyDescent="0.3">
      <c r="A970" s="1">
        <v>41584</v>
      </c>
      <c r="B970" t="s">
        <v>0</v>
      </c>
      <c r="C970">
        <v>509.46626689999999</v>
      </c>
      <c r="D970" s="2">
        <f t="shared" si="91"/>
        <v>1.2040841272723758E-3</v>
      </c>
      <c r="E970" s="2">
        <f t="shared" ca="1" si="92"/>
        <v>-0.65812755521401978</v>
      </c>
      <c r="F970">
        <f t="shared" ca="1" si="93"/>
        <v>-0.65622994259703338</v>
      </c>
      <c r="G970" s="3">
        <f t="shared" ca="1" si="96"/>
        <v>1.9064326662879705</v>
      </c>
      <c r="H970">
        <f t="shared" ca="1" si="94"/>
        <v>-0.34421878842161452</v>
      </c>
      <c r="I970">
        <f t="shared" ca="1" si="95"/>
        <v>0.84248469173211693</v>
      </c>
    </row>
    <row r="971" spans="1:9" x14ac:dyDescent="0.3">
      <c r="A971" s="1">
        <v>41585</v>
      </c>
      <c r="B971" t="s">
        <v>0</v>
      </c>
      <c r="C971">
        <v>502.09387839999999</v>
      </c>
      <c r="D971" s="2">
        <f t="shared" si="91"/>
        <v>-1.4470807939570767E-2</v>
      </c>
      <c r="E971" s="2">
        <f t="shared" ca="1" si="92"/>
        <v>1.2243592711771916</v>
      </c>
      <c r="F971">
        <f t="shared" ca="1" si="93"/>
        <v>1.226785714469943</v>
      </c>
      <c r="G971" s="3">
        <f t="shared" ca="1" si="96"/>
        <v>1.8995125350970434</v>
      </c>
      <c r="H971">
        <f t="shared" ca="1" si="94"/>
        <v>0.64584238945665517</v>
      </c>
      <c r="I971">
        <f t="shared" ca="1" si="95"/>
        <v>-0.40893415604989442</v>
      </c>
    </row>
    <row r="972" spans="1:9" x14ac:dyDescent="0.3">
      <c r="A972" s="1">
        <v>41586</v>
      </c>
      <c r="B972" t="s">
        <v>0</v>
      </c>
      <c r="C972">
        <v>506.11881840000001</v>
      </c>
      <c r="D972" s="2">
        <f t="shared" si="91"/>
        <v>8.0163096447742211E-3</v>
      </c>
      <c r="E972" s="2">
        <f t="shared" ca="1" si="92"/>
        <v>-2.4629590890171547</v>
      </c>
      <c r="F972">
        <f t="shared" ca="1" si="93"/>
        <v>-2.4593941734024223</v>
      </c>
      <c r="G972" s="3">
        <f t="shared" ca="1" si="96"/>
        <v>1.8945688068181346</v>
      </c>
      <c r="H972">
        <f t="shared" ca="1" si="94"/>
        <v>-1.2981287164401769</v>
      </c>
      <c r="I972">
        <f t="shared" ca="1" si="95"/>
        <v>-1.7998407213931276</v>
      </c>
    </row>
    <row r="973" spans="1:9" x14ac:dyDescent="0.3">
      <c r="A973" s="1">
        <v>41589</v>
      </c>
      <c r="B973" t="s">
        <v>0</v>
      </c>
      <c r="C973">
        <v>503.40897460000002</v>
      </c>
      <c r="D973" s="2">
        <f t="shared" si="91"/>
        <v>-5.354165270057833E-3</v>
      </c>
      <c r="E973" s="2">
        <f t="shared" ca="1" si="92"/>
        <v>2.7847403850234298</v>
      </c>
      <c r="F973">
        <f t="shared" ca="1" si="93"/>
        <v>2.7913611228437296</v>
      </c>
      <c r="G973" s="3">
        <f t="shared" ca="1" si="96"/>
        <v>1.89773561862533</v>
      </c>
      <c r="H973">
        <f t="shared" ca="1" si="94"/>
        <v>1.4708904103648108</v>
      </c>
      <c r="I973">
        <f t="shared" ca="1" si="95"/>
        <v>-2.0530623482228916</v>
      </c>
    </row>
    <row r="974" spans="1:9" x14ac:dyDescent="0.3">
      <c r="A974" s="1">
        <v>41590</v>
      </c>
      <c r="B974" t="s">
        <v>0</v>
      </c>
      <c r="C974">
        <v>504.00174920000001</v>
      </c>
      <c r="D974" s="2">
        <f t="shared" si="91"/>
        <v>1.1775209221706717E-3</v>
      </c>
      <c r="E974" s="2">
        <f t="shared" ca="1" si="92"/>
        <v>-2.1582946999315671</v>
      </c>
      <c r="F974">
        <f t="shared" ca="1" si="93"/>
        <v>-2.1616900024286299</v>
      </c>
      <c r="G974" s="3">
        <f t="shared" ca="1" si="96"/>
        <v>1.9038711314857106</v>
      </c>
      <c r="H974">
        <f t="shared" ca="1" si="94"/>
        <v>-1.1354182363917282</v>
      </c>
      <c r="I974">
        <f t="shared" ca="1" si="95"/>
        <v>-1.5417809453341742</v>
      </c>
    </row>
    <row r="975" spans="1:9" x14ac:dyDescent="0.3">
      <c r="A975" s="1">
        <v>41591</v>
      </c>
      <c r="B975" t="s">
        <v>0</v>
      </c>
      <c r="C975">
        <v>514.30813290000003</v>
      </c>
      <c r="D975" s="2">
        <f t="shared" si="91"/>
        <v>2.0449103036565466E-2</v>
      </c>
      <c r="E975" s="2">
        <f t="shared" ca="1" si="92"/>
        <v>2.7239419748346987</v>
      </c>
      <c r="F975">
        <f t="shared" ca="1" si="93"/>
        <v>2.7269248998228406</v>
      </c>
      <c r="G975" s="3">
        <f t="shared" ca="1" si="96"/>
        <v>1.904383578262143</v>
      </c>
      <c r="H975">
        <f t="shared" ca="1" si="94"/>
        <v>1.4319199823762987</v>
      </c>
      <c r="I975">
        <f t="shared" ca="1" si="95"/>
        <v>-2.0064053624109937</v>
      </c>
    </row>
    <row r="976" spans="1:9" x14ac:dyDescent="0.3">
      <c r="A976" s="1">
        <v>41592</v>
      </c>
      <c r="B976" t="s">
        <v>0</v>
      </c>
      <c r="C976">
        <v>515.68295220000005</v>
      </c>
      <c r="D976" s="2">
        <f t="shared" si="91"/>
        <v>2.6731432230089332E-3</v>
      </c>
      <c r="E976" s="2">
        <f t="shared" ca="1" si="92"/>
        <v>2.0645886500188824</v>
      </c>
      <c r="F976">
        <f t="shared" ca="1" si="93"/>
        <v>2.0577581958132183</v>
      </c>
      <c r="G976" s="3">
        <f t="shared" ca="1" si="96"/>
        <v>1.9096848027523452</v>
      </c>
      <c r="H976">
        <f t="shared" ca="1" si="94"/>
        <v>1.0775381323909901</v>
      </c>
      <c r="I976">
        <f t="shared" ca="1" si="95"/>
        <v>-1.4432359590726991</v>
      </c>
    </row>
    <row r="977" spans="1:9" x14ac:dyDescent="0.3">
      <c r="A977" s="1">
        <v>41593</v>
      </c>
      <c r="B977" t="s">
        <v>0</v>
      </c>
      <c r="C977">
        <v>514.85110269999996</v>
      </c>
      <c r="D977" s="2">
        <f t="shared" si="91"/>
        <v>-1.6131025787283905E-3</v>
      </c>
      <c r="E977" s="2">
        <f t="shared" ca="1" si="92"/>
        <v>-2.6863373068759819</v>
      </c>
      <c r="F977">
        <f t="shared" ca="1" si="93"/>
        <v>-2.6998679347347894</v>
      </c>
      <c r="G977" s="3">
        <f t="shared" ca="1" si="96"/>
        <v>1.9093008727102501</v>
      </c>
      <c r="H977">
        <f t="shared" ca="1" si="94"/>
        <v>-1.4140610174772144</v>
      </c>
      <c r="I977">
        <f t="shared" ca="1" si="95"/>
        <v>-1.986406074481549</v>
      </c>
    </row>
    <row r="978" spans="1:9" x14ac:dyDescent="0.3">
      <c r="A978" s="1">
        <v>41596</v>
      </c>
      <c r="B978" t="s">
        <v>0</v>
      </c>
      <c r="C978">
        <v>513.84981919999996</v>
      </c>
      <c r="D978" s="2">
        <f t="shared" si="91"/>
        <v>-1.9448020888933402E-3</v>
      </c>
      <c r="E978" s="2">
        <f t="shared" ca="1" si="92"/>
        <v>-1.7552179664764651</v>
      </c>
      <c r="F978">
        <f t="shared" ca="1" si="93"/>
        <v>-1.7564015524928898</v>
      </c>
      <c r="G978" s="3">
        <f t="shared" ca="1" si="96"/>
        <v>1.9141945189500416</v>
      </c>
      <c r="H978">
        <f t="shared" ca="1" si="94"/>
        <v>-0.9175669113587771</v>
      </c>
      <c r="I978">
        <f t="shared" ca="1" si="95"/>
        <v>-1.1265355132584514</v>
      </c>
    </row>
    <row r="979" spans="1:9" x14ac:dyDescent="0.3">
      <c r="A979" s="1">
        <v>41597</v>
      </c>
      <c r="B979" t="s">
        <v>0</v>
      </c>
      <c r="C979">
        <v>510.68669740000001</v>
      </c>
      <c r="D979" s="2">
        <f t="shared" si="91"/>
        <v>-6.1557320481780611E-3</v>
      </c>
      <c r="E979" s="2">
        <f t="shared" ca="1" si="92"/>
        <v>-0.32400891835523671</v>
      </c>
      <c r="F979">
        <f t="shared" ca="1" si="93"/>
        <v>-0.32242457193475621</v>
      </c>
      <c r="G979" s="3">
        <f t="shared" ca="1" si="96"/>
        <v>1.9117372046770871</v>
      </c>
      <c r="H979">
        <f t="shared" ca="1" si="94"/>
        <v>-0.16865527915967779</v>
      </c>
      <c r="I979">
        <f t="shared" ca="1" si="95"/>
        <v>2.2634076064356523</v>
      </c>
    </row>
    <row r="980" spans="1:9" x14ac:dyDescent="0.3">
      <c r="A980" s="1">
        <v>41598</v>
      </c>
      <c r="B980" t="s">
        <v>0</v>
      </c>
      <c r="C980">
        <v>509.24708889999999</v>
      </c>
      <c r="D980" s="2">
        <f t="shared" si="91"/>
        <v>-2.8189661241017861E-3</v>
      </c>
      <c r="E980" s="2">
        <f t="shared" ca="1" si="92"/>
        <v>-2.5434803143468372</v>
      </c>
      <c r="F980">
        <f t="shared" ca="1" si="93"/>
        <v>-2.5404338659502694</v>
      </c>
      <c r="G980" s="3">
        <f t="shared" ca="1" si="96"/>
        <v>1.9041868417462242</v>
      </c>
      <c r="H980">
        <f t="shared" ca="1" si="94"/>
        <v>-1.3341305644253787</v>
      </c>
      <c r="I980">
        <f t="shared" ca="1" si="95"/>
        <v>-1.864670990919636</v>
      </c>
    </row>
    <row r="981" spans="1:9" x14ac:dyDescent="0.3">
      <c r="A981" s="1">
        <v>41599</v>
      </c>
      <c r="B981" t="s">
        <v>0</v>
      </c>
      <c r="C981">
        <v>515.10513149999997</v>
      </c>
      <c r="D981" s="2">
        <f t="shared" si="91"/>
        <v>1.1503340377759744E-2</v>
      </c>
      <c r="E981" s="2">
        <f t="shared" ca="1" si="92"/>
        <v>0.52077334756827365</v>
      </c>
      <c r="F981">
        <f t="shared" ca="1" si="93"/>
        <v>0.52544701986298847</v>
      </c>
      <c r="G981" s="3">
        <f t="shared" ca="1" si="96"/>
        <v>1.9077883543857954</v>
      </c>
      <c r="H981">
        <f t="shared" ca="1" si="94"/>
        <v>0.27542207114067113</v>
      </c>
      <c r="I981">
        <f t="shared" ca="1" si="95"/>
        <v>1.2865325437058346</v>
      </c>
    </row>
    <row r="982" spans="1:9" x14ac:dyDescent="0.3">
      <c r="A982" s="1">
        <v>41600</v>
      </c>
      <c r="B982" t="s">
        <v>0</v>
      </c>
      <c r="C982">
        <v>514.01919190000001</v>
      </c>
      <c r="D982" s="2">
        <f t="shared" si="91"/>
        <v>-2.1081902190290269E-3</v>
      </c>
      <c r="E982" s="2">
        <f t="shared" ca="1" si="92"/>
        <v>0.77467496134322744</v>
      </c>
      <c r="F982">
        <f t="shared" ca="1" si="93"/>
        <v>0.77300042368802813</v>
      </c>
      <c r="G982" s="3">
        <f t="shared" ca="1" si="96"/>
        <v>1.9005828137649461</v>
      </c>
      <c r="H982">
        <f t="shared" ca="1" si="94"/>
        <v>0.40671757004724168</v>
      </c>
      <c r="I982">
        <f t="shared" ca="1" si="95"/>
        <v>0.51494392650466836</v>
      </c>
    </row>
    <row r="983" spans="1:9" x14ac:dyDescent="0.3">
      <c r="A983" s="1">
        <v>41603</v>
      </c>
      <c r="B983" t="s">
        <v>0</v>
      </c>
      <c r="C983">
        <v>521.01303919999998</v>
      </c>
      <c r="D983" s="2">
        <f t="shared" si="91"/>
        <v>1.360619877664138E-2</v>
      </c>
      <c r="E983" s="2">
        <f t="shared" ca="1" si="92"/>
        <v>1.5781843919488425</v>
      </c>
      <c r="F983">
        <f t="shared" ca="1" si="93"/>
        <v>1.5716498893483948</v>
      </c>
      <c r="G983" s="3">
        <f t="shared" ca="1" si="96"/>
        <v>1.8940290310994581</v>
      </c>
      <c r="H983">
        <f t="shared" ca="1" si="94"/>
        <v>0.82979186883744516</v>
      </c>
      <c r="I983">
        <f t="shared" ca="1" si="95"/>
        <v>-0.90432685334355178</v>
      </c>
    </row>
    <row r="984" spans="1:9" x14ac:dyDescent="0.3">
      <c r="A984" s="1">
        <v>41604</v>
      </c>
      <c r="B984" t="s">
        <v>0</v>
      </c>
      <c r="C984">
        <v>527.2297251</v>
      </c>
      <c r="D984" s="2">
        <f t="shared" si="91"/>
        <v>1.1931919994834587E-2</v>
      </c>
      <c r="E984" s="2">
        <f t="shared" ca="1" si="92"/>
        <v>-1.2030142770471866</v>
      </c>
      <c r="F984">
        <f t="shared" ca="1" si="93"/>
        <v>-1.2057584122122245</v>
      </c>
      <c r="G984" s="3">
        <f t="shared" ca="1" si="96"/>
        <v>1.8908812107694566</v>
      </c>
      <c r="H984">
        <f t="shared" ca="1" si="94"/>
        <v>-0.63767010076828945</v>
      </c>
      <c r="I984">
        <f t="shared" ca="1" si="95"/>
        <v>-0.37431543984047799</v>
      </c>
    </row>
    <row r="985" spans="1:9" x14ac:dyDescent="0.3">
      <c r="A985" s="1">
        <v>41605</v>
      </c>
      <c r="B985" t="s">
        <v>0</v>
      </c>
      <c r="C985">
        <v>529.57097650000003</v>
      </c>
      <c r="D985" s="2">
        <f t="shared" si="91"/>
        <v>4.4406665416218067E-3</v>
      </c>
      <c r="E985" s="2">
        <f t="shared" ca="1" si="92"/>
        <v>0.95532755751854281</v>
      </c>
      <c r="F985">
        <f t="shared" ca="1" si="93"/>
        <v>0.94329733628993673</v>
      </c>
      <c r="G985" s="3">
        <f t="shared" ca="1" si="96"/>
        <v>1.8859806081930046</v>
      </c>
      <c r="H985">
        <f t="shared" ca="1" si="94"/>
        <v>0.50016279711047962</v>
      </c>
      <c r="I985">
        <f t="shared" ca="1" si="95"/>
        <v>0.11672531280425361</v>
      </c>
    </row>
    <row r="986" spans="1:9" x14ac:dyDescent="0.3">
      <c r="A986" s="1">
        <v>41607</v>
      </c>
      <c r="B986" t="s">
        <v>0</v>
      </c>
      <c r="C986">
        <v>527.81749449999995</v>
      </c>
      <c r="D986" s="2">
        <f t="shared" si="91"/>
        <v>-3.3111368972466265E-3</v>
      </c>
      <c r="E986" s="2">
        <f t="shared" ca="1" si="92"/>
        <v>1.1492876815217643</v>
      </c>
      <c r="F986">
        <f t="shared" ca="1" si="93"/>
        <v>1.1405336610478576</v>
      </c>
      <c r="G986" s="3">
        <f t="shared" ca="1" si="96"/>
        <v>1.8801425613343772</v>
      </c>
      <c r="H986">
        <f t="shared" ca="1" si="94"/>
        <v>0.60662084062306243</v>
      </c>
      <c r="I986">
        <f t="shared" ca="1" si="95"/>
        <v>-0.26300098145634199</v>
      </c>
    </row>
    <row r="987" spans="1:9" x14ac:dyDescent="0.3">
      <c r="A987" s="1">
        <v>41610</v>
      </c>
      <c r="B987" t="s">
        <v>0</v>
      </c>
      <c r="C987">
        <v>525.27207980000003</v>
      </c>
      <c r="D987" s="2">
        <f t="shared" si="91"/>
        <v>-4.8225281020879921E-3</v>
      </c>
      <c r="E987" s="2">
        <f t="shared" ca="1" si="92"/>
        <v>0.16505672614322964</v>
      </c>
      <c r="F987">
        <f t="shared" ca="1" si="93"/>
        <v>0.16327880434384179</v>
      </c>
      <c r="G987" s="3">
        <f t="shared" ca="1" si="96"/>
        <v>1.8751313454295817</v>
      </c>
      <c r="H987">
        <f t="shared" ca="1" si="94"/>
        <v>8.707592923653866E-2</v>
      </c>
      <c r="I987">
        <f t="shared" ca="1" si="95"/>
        <v>3.6237198182003936</v>
      </c>
    </row>
    <row r="988" spans="1:9" x14ac:dyDescent="0.3">
      <c r="A988" s="1">
        <v>41611</v>
      </c>
      <c r="B988" t="s">
        <v>0</v>
      </c>
      <c r="C988">
        <v>524.6643517</v>
      </c>
      <c r="D988" s="2">
        <f t="shared" si="91"/>
        <v>-1.1569777328188217E-3</v>
      </c>
      <c r="E988" s="2">
        <f t="shared" ca="1" si="92"/>
        <v>0.25836354698993075</v>
      </c>
      <c r="F988">
        <f t="shared" ca="1" si="93"/>
        <v>0.2618632922176875</v>
      </c>
      <c r="G988" s="3">
        <f t="shared" ca="1" si="96"/>
        <v>1.8678660610341471</v>
      </c>
      <c r="H988">
        <f t="shared" ca="1" si="94"/>
        <v>0.14019382742716921</v>
      </c>
      <c r="I988">
        <f t="shared" ca="1" si="95"/>
        <v>2.6798458727129781</v>
      </c>
    </row>
    <row r="989" spans="1:9" x14ac:dyDescent="0.3">
      <c r="A989" s="1">
        <v>41612</v>
      </c>
      <c r="B989" t="s">
        <v>0</v>
      </c>
      <c r="C989">
        <v>527.1151615</v>
      </c>
      <c r="D989" s="2">
        <f t="shared" si="91"/>
        <v>4.6711955787713984E-3</v>
      </c>
      <c r="E989" s="2">
        <f t="shared" ca="1" si="92"/>
        <v>-2.6622161947745253</v>
      </c>
      <c r="F989">
        <f t="shared" ca="1" si="93"/>
        <v>-2.6588682516753086</v>
      </c>
      <c r="G989" s="3">
        <f t="shared" ca="1" si="96"/>
        <v>1.8607620965787319</v>
      </c>
      <c r="H989">
        <f t="shared" ca="1" si="94"/>
        <v>-1.4289135922125697</v>
      </c>
      <c r="I989">
        <f t="shared" ca="1" si="95"/>
        <v>-1.9558042123946207</v>
      </c>
    </row>
    <row r="990" spans="1:9" x14ac:dyDescent="0.3">
      <c r="A990" s="1">
        <v>41613</v>
      </c>
      <c r="B990" t="s">
        <v>0</v>
      </c>
      <c r="C990">
        <v>526.69670389999999</v>
      </c>
      <c r="D990" s="2">
        <f t="shared" si="91"/>
        <v>-7.9386371435269496E-4</v>
      </c>
      <c r="E990" s="2">
        <f t="shared" ca="1" si="92"/>
        <v>-3.1963470481707876</v>
      </c>
      <c r="F990">
        <f t="shared" ca="1" si="93"/>
        <v>-3.1970193910449187</v>
      </c>
      <c r="G990" s="3">
        <f t="shared" ca="1" si="96"/>
        <v>1.8668044544576845</v>
      </c>
      <c r="H990">
        <f t="shared" ca="1" si="94"/>
        <v>-1.7125625468756811</v>
      </c>
      <c r="I990">
        <f t="shared" ca="1" si="95"/>
        <v>-2.3244379325539901</v>
      </c>
    </row>
    <row r="991" spans="1:9" x14ac:dyDescent="0.3">
      <c r="A991" s="1">
        <v>41614</v>
      </c>
      <c r="B991" t="s">
        <v>0</v>
      </c>
      <c r="C991">
        <v>532.9383527</v>
      </c>
      <c r="D991" s="2">
        <f t="shared" si="91"/>
        <v>1.1850556029272329E-2</v>
      </c>
      <c r="E991" s="2">
        <f t="shared" ca="1" si="92"/>
        <v>0.55369600533113461</v>
      </c>
      <c r="F991">
        <f t="shared" ca="1" si="93"/>
        <v>0.55102396999400116</v>
      </c>
      <c r="G991" s="3">
        <f t="shared" ca="1" si="96"/>
        <v>1.8784453009930422</v>
      </c>
      <c r="H991">
        <f t="shared" ca="1" si="94"/>
        <v>0.29334043940630145</v>
      </c>
      <c r="I991">
        <f t="shared" ca="1" si="95"/>
        <v>1.1914914097847622</v>
      </c>
    </row>
    <row r="992" spans="1:9" x14ac:dyDescent="0.3">
      <c r="A992" s="1">
        <v>41617</v>
      </c>
      <c r="B992" t="s">
        <v>0</v>
      </c>
      <c r="C992">
        <v>537.05792750000001</v>
      </c>
      <c r="D992" s="2">
        <f t="shared" si="91"/>
        <v>7.7299274468223302E-3</v>
      </c>
      <c r="E992" s="2">
        <f t="shared" ca="1" si="92"/>
        <v>0.55536505993656082</v>
      </c>
      <c r="F992">
        <f t="shared" ca="1" si="93"/>
        <v>0.55232596999057992</v>
      </c>
      <c r="G992" s="3">
        <f t="shared" ca="1" si="96"/>
        <v>1.8716460009752556</v>
      </c>
      <c r="H992">
        <f t="shared" ca="1" si="94"/>
        <v>0.29510172848005461</v>
      </c>
      <c r="I992">
        <f t="shared" ca="1" si="95"/>
        <v>1.1870378969177326</v>
      </c>
    </row>
    <row r="993" spans="1:9" x14ac:dyDescent="0.3">
      <c r="A993" s="1">
        <v>41618</v>
      </c>
      <c r="B993" t="s">
        <v>0</v>
      </c>
      <c r="C993">
        <v>540.30573600000002</v>
      </c>
      <c r="D993" s="2">
        <f t="shared" si="91"/>
        <v>6.0474081727431893E-3</v>
      </c>
      <c r="E993" s="2">
        <f t="shared" ca="1" si="92"/>
        <v>2.193002636954593</v>
      </c>
      <c r="F993">
        <f t="shared" ca="1" si="93"/>
        <v>2.183318537626441</v>
      </c>
      <c r="G993" s="3">
        <f t="shared" ca="1" si="96"/>
        <v>1.864933099001906</v>
      </c>
      <c r="H993">
        <f t="shared" ca="1" si="94"/>
        <v>1.1707221770019161</v>
      </c>
      <c r="I993">
        <f t="shared" ca="1" si="95"/>
        <v>-1.5616996405181007</v>
      </c>
    </row>
    <row r="994" spans="1:9" x14ac:dyDescent="0.3">
      <c r="A994" s="1">
        <v>41619</v>
      </c>
      <c r="B994" t="s">
        <v>0</v>
      </c>
      <c r="C994">
        <v>536.63446529999999</v>
      </c>
      <c r="D994" s="2">
        <f t="shared" si="91"/>
        <v>-6.7948023783335077E-3</v>
      </c>
      <c r="E994" s="2">
        <f t="shared" ca="1" si="92"/>
        <v>-1.6962700450874471</v>
      </c>
      <c r="F994">
        <f t="shared" ca="1" si="93"/>
        <v>-1.7028865735042047</v>
      </c>
      <c r="G994" s="3">
        <f t="shared" ca="1" si="96"/>
        <v>1.8665817406123386</v>
      </c>
      <c r="H994">
        <f t="shared" ca="1" si="94"/>
        <v>-0.91230217056852103</v>
      </c>
      <c r="I994">
        <f t="shared" ca="1" si="95"/>
        <v>-1.064665512496642</v>
      </c>
    </row>
    <row r="995" spans="1:9" x14ac:dyDescent="0.3">
      <c r="A995" s="1">
        <v>41620</v>
      </c>
      <c r="B995" t="s">
        <v>0</v>
      </c>
      <c r="C995">
        <v>532.98315279999997</v>
      </c>
      <c r="D995" s="2">
        <f t="shared" si="91"/>
        <v>-6.8040961512950693E-3</v>
      </c>
      <c r="E995" s="2">
        <f t="shared" ca="1" si="92"/>
        <v>-3.0614143865621211</v>
      </c>
      <c r="F995">
        <f t="shared" ca="1" si="93"/>
        <v>-3.0631541124163548</v>
      </c>
      <c r="G995" s="3">
        <f t="shared" ca="1" si="96"/>
        <v>1.8647375731263962</v>
      </c>
      <c r="H995">
        <f t="shared" ca="1" si="94"/>
        <v>-1.6426730262536129</v>
      </c>
      <c r="I995">
        <f t="shared" ca="1" si="95"/>
        <v>-2.2388952156299942</v>
      </c>
    </row>
    <row r="996" spans="1:9" x14ac:dyDescent="0.3">
      <c r="A996" s="1">
        <v>41621</v>
      </c>
      <c r="B996" t="s">
        <v>0</v>
      </c>
      <c r="C996">
        <v>528.41527380000002</v>
      </c>
      <c r="D996" s="2">
        <f t="shared" si="91"/>
        <v>-8.5704003513109705E-3</v>
      </c>
      <c r="E996" s="2">
        <f t="shared" ca="1" si="92"/>
        <v>0.40278309582593486</v>
      </c>
      <c r="F996">
        <f t="shared" ca="1" si="93"/>
        <v>0.40904294315508771</v>
      </c>
      <c r="G996" s="3">
        <f t="shared" ca="1" si="96"/>
        <v>1.8749201041883563</v>
      </c>
      <c r="H996">
        <f t="shared" ca="1" si="94"/>
        <v>0.21816553262260763</v>
      </c>
      <c r="I996">
        <f t="shared" ca="1" si="95"/>
        <v>1.7874312660346989</v>
      </c>
    </row>
    <row r="997" spans="1:9" x14ac:dyDescent="0.3">
      <c r="A997" s="1">
        <v>41624</v>
      </c>
      <c r="B997" t="s">
        <v>0</v>
      </c>
      <c r="C997">
        <v>534.48754989999998</v>
      </c>
      <c r="D997" s="2">
        <f t="shared" si="91"/>
        <v>1.1491484824676454E-2</v>
      </c>
      <c r="E997" s="2">
        <f t="shared" ca="1" si="92"/>
        <v>-5.2331296961909546</v>
      </c>
      <c r="F997">
        <f t="shared" ca="1" si="93"/>
        <v>-5.2263374107901095</v>
      </c>
      <c r="G997" s="3">
        <f t="shared" ca="1" si="96"/>
        <v>1.8679147162345842</v>
      </c>
      <c r="H997">
        <f t="shared" ca="1" si="94"/>
        <v>-2.7979529072534777</v>
      </c>
      <c r="I997">
        <f t="shared" ca="1" si="95"/>
        <v>-3.3074262923356694</v>
      </c>
    </row>
    <row r="998" spans="1:9" x14ac:dyDescent="0.3">
      <c r="A998" s="1">
        <v>41625</v>
      </c>
      <c r="B998" t="s">
        <v>0</v>
      </c>
      <c r="C998">
        <v>532.93334800000002</v>
      </c>
      <c r="D998" s="2">
        <f t="shared" si="91"/>
        <v>-2.9078355525600855E-3</v>
      </c>
      <c r="E998" s="2">
        <f t="shared" ca="1" si="92"/>
        <v>1.406728071661679</v>
      </c>
      <c r="F998">
        <f t="shared" ca="1" si="93"/>
        <v>1.4086384680230786</v>
      </c>
      <c r="G998" s="3">
        <f t="shared" ca="1" si="96"/>
        <v>1.9105804495447138</v>
      </c>
      <c r="H998">
        <f t="shared" ca="1" si="94"/>
        <v>0.7372829908098103</v>
      </c>
      <c r="I998">
        <f t="shared" ca="1" si="95"/>
        <v>-0.68525148600087693</v>
      </c>
    </row>
    <row r="999" spans="1:9" x14ac:dyDescent="0.3">
      <c r="A999" s="1">
        <v>41626</v>
      </c>
      <c r="B999" t="s">
        <v>0</v>
      </c>
      <c r="C999">
        <v>540.35053600000003</v>
      </c>
      <c r="D999" s="2">
        <f t="shared" si="91"/>
        <v>1.3917665366288938E-2</v>
      </c>
      <c r="E999" s="2">
        <f t="shared" ca="1" si="92"/>
        <v>-0.80835351700946045</v>
      </c>
      <c r="F999">
        <f t="shared" ca="1" si="93"/>
        <v>-0.81464221059299002</v>
      </c>
      <c r="G999" s="3">
        <f t="shared" ca="1" si="96"/>
        <v>1.9062938264085993</v>
      </c>
      <c r="H999">
        <f t="shared" ca="1" si="94"/>
        <v>-0.4273434657907651</v>
      </c>
      <c r="I999">
        <f t="shared" ca="1" si="95"/>
        <v>0.40972065869234142</v>
      </c>
    </row>
    <row r="1000" spans="1:9" x14ac:dyDescent="0.3">
      <c r="A1000" s="1">
        <v>41627</v>
      </c>
      <c r="B1000" t="s">
        <v>0</v>
      </c>
      <c r="C1000">
        <v>541.08283719999997</v>
      </c>
      <c r="D1000" s="2">
        <f t="shared" si="91"/>
        <v>1.355233595992839E-3</v>
      </c>
      <c r="E1000" s="2">
        <f t="shared" ca="1" si="92"/>
        <v>0.43356097234636121</v>
      </c>
      <c r="F1000">
        <f t="shared" ca="1" si="93"/>
        <v>0.43122190511693209</v>
      </c>
      <c r="G1000" s="3">
        <f t="shared" ca="1" si="96"/>
        <v>1.8997811047608049</v>
      </c>
      <c r="H1000">
        <f t="shared" ca="1" si="94"/>
        <v>0.22698504792804844</v>
      </c>
      <c r="I1000">
        <f t="shared" ca="1" si="95"/>
        <v>1.6822550435901791</v>
      </c>
    </row>
    <row r="1001" spans="1:9" x14ac:dyDescent="0.3">
      <c r="A1001" s="1">
        <v>41628</v>
      </c>
      <c r="B1001" t="s">
        <v>0</v>
      </c>
      <c r="C1001">
        <v>548.25594509999996</v>
      </c>
      <c r="D1001" s="2">
        <f t="shared" si="91"/>
        <v>1.3256949595961036E-2</v>
      </c>
      <c r="E1001" s="2">
        <f t="shared" ca="1" si="92"/>
        <v>-0.4889515316061474</v>
      </c>
      <c r="F1001">
        <f t="shared" ca="1" si="93"/>
        <v>-0.4980220996918055</v>
      </c>
      <c r="G1001" s="3">
        <f t="shared" ca="1" si="96"/>
        <v>1.8925136742406881</v>
      </c>
      <c r="H1001">
        <f t="shared" ca="1" si="94"/>
        <v>-0.26315376552912956</v>
      </c>
      <c r="I1001">
        <f t="shared" ca="1" si="95"/>
        <v>1.3935130703231755</v>
      </c>
    </row>
    <row r="1002" spans="1:9" x14ac:dyDescent="0.3">
      <c r="A1002" s="1">
        <v>41631</v>
      </c>
      <c r="B1002" t="s">
        <v>0</v>
      </c>
      <c r="C1002">
        <v>555.46890919999998</v>
      </c>
      <c r="D1002" s="2">
        <f t="shared" si="91"/>
        <v>1.3156198604803824E-2</v>
      </c>
      <c r="E1002" s="2">
        <f t="shared" ca="1" si="92"/>
        <v>0.29133070051906029</v>
      </c>
      <c r="F1002">
        <f t="shared" ca="1" si="93"/>
        <v>0.28653403681745393</v>
      </c>
      <c r="G1002" s="3">
        <f t="shared" ca="1" si="96"/>
        <v>1.8854429747743802</v>
      </c>
      <c r="H1002">
        <f t="shared" ca="1" si="94"/>
        <v>0.15197173324838517</v>
      </c>
      <c r="I1002">
        <f t="shared" ca="1" si="95"/>
        <v>2.4976877119804866</v>
      </c>
    </row>
    <row r="1003" spans="1:9" x14ac:dyDescent="0.3">
      <c r="A1003" s="1">
        <v>41632</v>
      </c>
      <c r="B1003" t="s">
        <v>0</v>
      </c>
      <c r="C1003">
        <v>553.84500500000001</v>
      </c>
      <c r="D1003" s="2">
        <f t="shared" si="91"/>
        <v>-2.9234835165459698E-3</v>
      </c>
      <c r="E1003" s="2">
        <f t="shared" ca="1" si="92"/>
        <v>1.6644523920629779</v>
      </c>
      <c r="F1003">
        <f t="shared" ca="1" si="93"/>
        <v>1.6522746095747511</v>
      </c>
      <c r="G1003" s="3">
        <f t="shared" ca="1" si="96"/>
        <v>1.8781590346104955</v>
      </c>
      <c r="H1003">
        <f t="shared" ca="1" si="94"/>
        <v>0.87973093818299064</v>
      </c>
      <c r="I1003">
        <f t="shared" ca="1" si="95"/>
        <v>-1.0043089103477412</v>
      </c>
    </row>
    <row r="1004" spans="1:9" x14ac:dyDescent="0.3">
      <c r="A1004" s="1">
        <v>41634</v>
      </c>
      <c r="B1004" t="s">
        <v>0</v>
      </c>
      <c r="C1004">
        <v>556.64450920000002</v>
      </c>
      <c r="D1004" s="2">
        <f t="shared" si="91"/>
        <v>5.0546708460429308E-3</v>
      </c>
      <c r="E1004" s="2">
        <f t="shared" ca="1" si="92"/>
        <v>-2.3956795652706742</v>
      </c>
      <c r="F1004">
        <f t="shared" ca="1" si="93"/>
        <v>-2.4030002049456489</v>
      </c>
      <c r="G1004" s="3">
        <f t="shared" ca="1" si="96"/>
        <v>1.8757756803496568</v>
      </c>
      <c r="H1004">
        <f t="shared" ca="1" si="94"/>
        <v>-1.2810701354746821</v>
      </c>
      <c r="I1004">
        <f t="shared" ca="1" si="95"/>
        <v>-1.7534405087255509</v>
      </c>
    </row>
    <row r="1005" spans="1:9" x14ac:dyDescent="0.3">
      <c r="A1005" s="1">
        <v>41635</v>
      </c>
      <c r="B1005" t="s">
        <v>0</v>
      </c>
      <c r="C1005">
        <v>557.11277159999997</v>
      </c>
      <c r="D1005" s="2">
        <f t="shared" si="91"/>
        <v>8.4122342403581145E-4</v>
      </c>
      <c r="E1005" s="2">
        <f t="shared" ca="1" si="92"/>
        <v>-0.72096273928659382</v>
      </c>
      <c r="F1005">
        <f t="shared" ca="1" si="93"/>
        <v>-0.72064942391471842</v>
      </c>
      <c r="G1005" s="3">
        <f t="shared" ca="1" si="96"/>
        <v>1.8789809863172049</v>
      </c>
      <c r="H1005">
        <f t="shared" ca="1" si="94"/>
        <v>-0.38353204697786131</v>
      </c>
      <c r="I1005">
        <f t="shared" ca="1" si="95"/>
        <v>0.65520362908064245</v>
      </c>
    </row>
    <row r="1006" spans="1:9" x14ac:dyDescent="0.3">
      <c r="A1006" s="1">
        <v>41638</v>
      </c>
      <c r="B1006" t="s">
        <v>0</v>
      </c>
      <c r="C1006">
        <v>552.65945620000002</v>
      </c>
      <c r="D1006" s="2">
        <f t="shared" si="91"/>
        <v>-7.9935618550087302E-3</v>
      </c>
      <c r="E1006" s="2">
        <f t="shared" ca="1" si="92"/>
        <v>-0.80843584541360358</v>
      </c>
      <c r="F1006">
        <f t="shared" ca="1" si="93"/>
        <v>-0.81183419601029183</v>
      </c>
      <c r="G1006" s="3">
        <f t="shared" ca="1" si="96"/>
        <v>1.8725672762055336</v>
      </c>
      <c r="H1006">
        <f t="shared" ca="1" si="94"/>
        <v>-0.43354073646707508</v>
      </c>
      <c r="I1006">
        <f t="shared" ca="1" si="95"/>
        <v>0.41682135395727027</v>
      </c>
    </row>
    <row r="1007" spans="1:9" x14ac:dyDescent="0.3">
      <c r="A1007" s="1">
        <v>41639</v>
      </c>
      <c r="B1007" t="s">
        <v>0</v>
      </c>
      <c r="C1007">
        <v>558.26346950000004</v>
      </c>
      <c r="D1007" s="2">
        <f t="shared" si="91"/>
        <v>1.014008398324049E-2</v>
      </c>
      <c r="E1007" s="2">
        <f t="shared" ca="1" si="92"/>
        <v>-1.0641414101344824</v>
      </c>
      <c r="F1007">
        <f t="shared" ca="1" si="93"/>
        <v>-1.0622818332905299</v>
      </c>
      <c r="G1007" s="3">
        <f t="shared" ca="1" si="96"/>
        <v>1.8664932003212003</v>
      </c>
      <c r="H1007">
        <f t="shared" ca="1" si="94"/>
        <v>-0.56913244211536607</v>
      </c>
      <c r="I1007">
        <f t="shared" ca="1" si="95"/>
        <v>-0.1209296525956447</v>
      </c>
    </row>
    <row r="1008" spans="1:9" x14ac:dyDescent="0.3">
      <c r="A1008" s="1">
        <v>41641</v>
      </c>
      <c r="B1008" t="s">
        <v>0</v>
      </c>
      <c r="C1008">
        <v>554.48264040000004</v>
      </c>
      <c r="D1008" s="2">
        <f t="shared" si="91"/>
        <v>-6.7724816445293226E-3</v>
      </c>
      <c r="E1008" s="2">
        <f t="shared" ca="1" si="92"/>
        <v>1.4303071492513415</v>
      </c>
      <c r="F1008">
        <f t="shared" ca="1" si="93"/>
        <v>1.4322612912132395</v>
      </c>
      <c r="G1008" s="3">
        <f t="shared" ca="1" si="96"/>
        <v>1.8613706426766325</v>
      </c>
      <c r="H1008">
        <f t="shared" ca="1" si="94"/>
        <v>0.76946592923248325</v>
      </c>
      <c r="I1008">
        <f t="shared" ca="1" si="95"/>
        <v>-0.71853139458680682</v>
      </c>
    </row>
    <row r="1009" spans="1:9" x14ac:dyDescent="0.3">
      <c r="A1009" s="1">
        <v>41642</v>
      </c>
      <c r="B1009" t="s">
        <v>0</v>
      </c>
      <c r="C1009">
        <v>550.43777260000002</v>
      </c>
      <c r="D1009" s="2">
        <f t="shared" si="91"/>
        <v>-7.2948501996060325E-3</v>
      </c>
      <c r="E1009" s="2">
        <f t="shared" ca="1" si="92"/>
        <v>1.3229405668783571</v>
      </c>
      <c r="F1009">
        <f t="shared" ca="1" si="93"/>
        <v>1.3186456900406929</v>
      </c>
      <c r="G1009" s="3">
        <f t="shared" ca="1" si="96"/>
        <v>1.8580479915601011</v>
      </c>
      <c r="H1009">
        <f t="shared" ca="1" si="94"/>
        <v>0.70969409618612611</v>
      </c>
      <c r="I1009">
        <f t="shared" ca="1" si="95"/>
        <v>-0.55324103891063225</v>
      </c>
    </row>
    <row r="1010" spans="1:9" x14ac:dyDescent="0.3">
      <c r="A1010" s="1">
        <v>41645</v>
      </c>
      <c r="B1010" t="s">
        <v>0</v>
      </c>
      <c r="C1010">
        <v>556.57480699999996</v>
      </c>
      <c r="D1010" s="2">
        <f t="shared" si="91"/>
        <v>1.114937002054126E-2</v>
      </c>
      <c r="E1010" s="2">
        <f t="shared" ca="1" si="92"/>
        <v>-0.99541020385699774</v>
      </c>
      <c r="F1010">
        <f t="shared" ca="1" si="93"/>
        <v>-0.98901792967805435</v>
      </c>
      <c r="G1010" s="3">
        <f t="shared" ca="1" si="96"/>
        <v>1.8541973361641522</v>
      </c>
      <c r="H1010">
        <f t="shared" ca="1" si="94"/>
        <v>-0.53339410557242684</v>
      </c>
      <c r="I1010">
        <f t="shared" ca="1" si="95"/>
        <v>2.1958552426332635E-2</v>
      </c>
    </row>
    <row r="1011" spans="1:9" x14ac:dyDescent="0.3">
      <c r="A1011" s="1">
        <v>41646</v>
      </c>
      <c r="B1011" t="s">
        <v>0</v>
      </c>
      <c r="C1011">
        <v>567.30456170000002</v>
      </c>
      <c r="D1011" s="2">
        <f t="shared" si="91"/>
        <v>1.9278189679181899E-2</v>
      </c>
      <c r="E1011" s="2">
        <f t="shared" ca="1" si="92"/>
        <v>-0.71353984327692899</v>
      </c>
      <c r="F1011">
        <f t="shared" ca="1" si="93"/>
        <v>-0.71232172097146529</v>
      </c>
      <c r="G1011" s="3">
        <f t="shared" ca="1" si="96"/>
        <v>1.8489737208430428</v>
      </c>
      <c r="H1011">
        <f t="shared" ca="1" si="94"/>
        <v>-0.38525248517143929</v>
      </c>
      <c r="I1011">
        <f t="shared" ca="1" si="95"/>
        <v>0.67771877504968381</v>
      </c>
    </row>
    <row r="1012" spans="1:9" x14ac:dyDescent="0.3">
      <c r="A1012" s="1">
        <v>41647</v>
      </c>
      <c r="B1012" t="s">
        <v>0</v>
      </c>
      <c r="C1012">
        <v>568.48516649999999</v>
      </c>
      <c r="D1012" s="2">
        <f t="shared" si="91"/>
        <v>2.0810775722693597E-3</v>
      </c>
      <c r="E1012" s="2">
        <f t="shared" ca="1" si="92"/>
        <v>2.3620850548659749</v>
      </c>
      <c r="F1012">
        <f t="shared" ca="1" si="93"/>
        <v>2.3493942890537345</v>
      </c>
      <c r="G1012" s="3">
        <f t="shared" ca="1" si="96"/>
        <v>1.8429282104832843</v>
      </c>
      <c r="H1012">
        <f t="shared" ca="1" si="94"/>
        <v>1.2748159563077262</v>
      </c>
      <c r="I1012">
        <f t="shared" ca="1" si="95"/>
        <v>-1.7083158758179817</v>
      </c>
    </row>
    <row r="1013" spans="1:9" x14ac:dyDescent="0.3">
      <c r="A1013" s="1">
        <v>41648</v>
      </c>
      <c r="B1013" t="s">
        <v>0</v>
      </c>
      <c r="C1013">
        <v>563.01066979999996</v>
      </c>
      <c r="D1013" s="2">
        <f t="shared" si="91"/>
        <v>-9.6299728165379177E-3</v>
      </c>
      <c r="E1013" s="2">
        <f t="shared" ca="1" si="92"/>
        <v>1.5387148046075008</v>
      </c>
      <c r="F1013">
        <f t="shared" ca="1" si="93"/>
        <v>1.5260898341452358</v>
      </c>
      <c r="G1013" s="3">
        <f t="shared" ca="1" si="96"/>
        <v>1.8465921688097751</v>
      </c>
      <c r="H1013">
        <f t="shared" ca="1" si="94"/>
        <v>0.82643577716940075</v>
      </c>
      <c r="I1013">
        <f t="shared" ca="1" si="95"/>
        <v>-0.84545741928724705</v>
      </c>
    </row>
    <row r="1014" spans="1:9" x14ac:dyDescent="0.3">
      <c r="A1014" s="1">
        <v>41649</v>
      </c>
      <c r="B1014" t="s">
        <v>0</v>
      </c>
      <c r="C1014">
        <v>562.98076289999995</v>
      </c>
      <c r="D1014" s="2">
        <f t="shared" si="91"/>
        <v>-5.3119597201663024E-5</v>
      </c>
      <c r="E1014" s="2">
        <f t="shared" ca="1" si="92"/>
        <v>-0.84480306404375183</v>
      </c>
      <c r="F1014">
        <f t="shared" ca="1" si="93"/>
        <v>-0.84322761908826838</v>
      </c>
      <c r="G1014" s="3">
        <f t="shared" ca="1" si="96"/>
        <v>1.8440627515121892</v>
      </c>
      <c r="H1014">
        <f t="shared" ca="1" si="94"/>
        <v>-0.45726622827601465</v>
      </c>
      <c r="I1014">
        <f t="shared" ca="1" si="95"/>
        <v>0.34103668932309522</v>
      </c>
    </row>
    <row r="1015" spans="1:9" x14ac:dyDescent="0.3">
      <c r="A1015" s="1">
        <v>41652</v>
      </c>
      <c r="B1015" t="s">
        <v>0</v>
      </c>
      <c r="C1015">
        <v>559.39420870000004</v>
      </c>
      <c r="D1015" s="2">
        <f t="shared" si="91"/>
        <v>-6.370651426036337E-3</v>
      </c>
      <c r="E1015" s="2">
        <f t="shared" ca="1" si="92"/>
        <v>-2.3052990252525567</v>
      </c>
      <c r="F1015">
        <f t="shared" ca="1" si="93"/>
        <v>-2.2992866345525407</v>
      </c>
      <c r="G1015" s="3">
        <f t="shared" ca="1" si="96"/>
        <v>1.838473186548282</v>
      </c>
      <c r="H1015">
        <f t="shared" ca="1" si="94"/>
        <v>-1.2506500782148648</v>
      </c>
      <c r="I1015">
        <f t="shared" ca="1" si="95"/>
        <v>-1.6652055086931206</v>
      </c>
    </row>
    <row r="1016" spans="1:9" x14ac:dyDescent="0.3">
      <c r="A1016" s="1">
        <v>41653</v>
      </c>
      <c r="B1016" t="s">
        <v>0</v>
      </c>
      <c r="C1016">
        <v>572.554937</v>
      </c>
      <c r="D1016" s="2">
        <f t="shared" si="91"/>
        <v>2.3526751073424116E-2</v>
      </c>
      <c r="E1016" s="2">
        <f t="shared" ca="1" si="92"/>
        <v>1.0386451748696874</v>
      </c>
      <c r="F1016">
        <f t="shared" ca="1" si="93"/>
        <v>1.0405777603565431</v>
      </c>
      <c r="G1016" s="3">
        <f t="shared" ca="1" si="96"/>
        <v>1.841815854267312</v>
      </c>
      <c r="H1016">
        <f t="shared" ca="1" si="94"/>
        <v>0.5649738316377414</v>
      </c>
      <c r="I1016">
        <f t="shared" ca="1" si="95"/>
        <v>-8.0063376561705285E-2</v>
      </c>
    </row>
    <row r="1017" spans="1:9" x14ac:dyDescent="0.3">
      <c r="A1017" s="1">
        <v>41654</v>
      </c>
      <c r="B1017" t="s">
        <v>0</v>
      </c>
      <c r="C1017">
        <v>572.16638639999996</v>
      </c>
      <c r="D1017" s="2">
        <f t="shared" si="91"/>
        <v>-6.7862588354561772E-4</v>
      </c>
      <c r="E1017" s="2">
        <f t="shared" ca="1" si="92"/>
        <v>-0.15707868535371269</v>
      </c>
      <c r="F1017">
        <f t="shared" ca="1" si="93"/>
        <v>-0.16012656584718452</v>
      </c>
      <c r="G1017" s="3">
        <f t="shared" ca="1" si="96"/>
        <v>1.8369744233315455</v>
      </c>
      <c r="H1017">
        <f t="shared" ca="1" si="94"/>
        <v>-8.7168641987283746E-2</v>
      </c>
      <c r="I1017">
        <f t="shared" ca="1" si="95"/>
        <v>3.6635635186691013</v>
      </c>
    </row>
    <row r="1018" spans="1:9" x14ac:dyDescent="0.3">
      <c r="A1018" s="1">
        <v>41655</v>
      </c>
      <c r="B1018" t="s">
        <v>0</v>
      </c>
      <c r="C1018">
        <v>575.95215940000003</v>
      </c>
      <c r="D1018" s="2">
        <f t="shared" si="91"/>
        <v>6.6165596057113345E-3</v>
      </c>
      <c r="E1018" s="2">
        <f t="shared" ca="1" si="92"/>
        <v>1.5671869159511425</v>
      </c>
      <c r="F1018">
        <f t="shared" ca="1" si="93"/>
        <v>1.5527392285353727</v>
      </c>
      <c r="G1018" s="3">
        <f t="shared" ca="1" si="96"/>
        <v>1.8301493939198541</v>
      </c>
      <c r="H1018">
        <f t="shared" ca="1" si="94"/>
        <v>0.84842211990666061</v>
      </c>
      <c r="I1018">
        <f t="shared" ca="1" si="95"/>
        <v>-0.88005938879239942</v>
      </c>
    </row>
    <row r="1019" spans="1:9" x14ac:dyDescent="0.3">
      <c r="A1019" s="1">
        <v>41656</v>
      </c>
      <c r="B1019" t="s">
        <v>0</v>
      </c>
      <c r="C1019">
        <v>573.11780380000005</v>
      </c>
      <c r="D1019" s="2">
        <f t="shared" si="91"/>
        <v>-4.9211649852180074E-3</v>
      </c>
      <c r="E1019" s="2">
        <f t="shared" ca="1" si="92"/>
        <v>-1.1310409719745078</v>
      </c>
      <c r="F1019">
        <f t="shared" ca="1" si="93"/>
        <v>-1.1325912232876665</v>
      </c>
      <c r="G1019" s="3">
        <f t="shared" ca="1" si="96"/>
        <v>1.8280921595070951</v>
      </c>
      <c r="H1019">
        <f t="shared" ca="1" si="94"/>
        <v>-0.6195482089880221</v>
      </c>
      <c r="I1019">
        <f t="shared" ca="1" si="95"/>
        <v>-0.24903513044645512</v>
      </c>
    </row>
    <row r="1020" spans="1:9" x14ac:dyDescent="0.3">
      <c r="A1020" s="1">
        <v>41660</v>
      </c>
      <c r="B1020" t="s">
        <v>0</v>
      </c>
      <c r="C1020">
        <v>579.67824010000004</v>
      </c>
      <c r="D1020" s="2">
        <f t="shared" si="91"/>
        <v>1.1446924622654677E-2</v>
      </c>
      <c r="E1020" s="2">
        <f t="shared" ca="1" si="92"/>
        <v>0.50400381131751393</v>
      </c>
      <c r="F1020">
        <f t="shared" ca="1" si="93"/>
        <v>0.50135102282670618</v>
      </c>
      <c r="G1020" s="3">
        <f t="shared" ca="1" si="96"/>
        <v>1.8238514579546383</v>
      </c>
      <c r="H1020">
        <f t="shared" ca="1" si="94"/>
        <v>0.2748858853828739</v>
      </c>
      <c r="I1020">
        <f t="shared" ca="1" si="95"/>
        <v>1.3803762504037862</v>
      </c>
    </row>
    <row r="1021" spans="1:9" x14ac:dyDescent="0.3">
      <c r="A1021" s="1">
        <v>41661</v>
      </c>
      <c r="B1021" t="s">
        <v>0</v>
      </c>
      <c r="C1021">
        <v>580.33577309999998</v>
      </c>
      <c r="D1021" s="2">
        <f t="shared" si="91"/>
        <v>1.1343068525161704E-3</v>
      </c>
      <c r="E1021" s="2">
        <f t="shared" ca="1" si="92"/>
        <v>-0.37142395043917559</v>
      </c>
      <c r="F1021">
        <f t="shared" ca="1" si="93"/>
        <v>-0.3717726345771486</v>
      </c>
      <c r="G1021" s="3">
        <f t="shared" ca="1" si="96"/>
        <v>1.8176286697940942</v>
      </c>
      <c r="H1021">
        <f t="shared" ca="1" si="94"/>
        <v>-0.20453717569236185</v>
      </c>
      <c r="I1021">
        <f t="shared" ca="1" si="95"/>
        <v>1.9789363088094936</v>
      </c>
    </row>
    <row r="1022" spans="1:9" x14ac:dyDescent="0.3">
      <c r="A1022" s="1">
        <v>41662</v>
      </c>
      <c r="B1022" t="s">
        <v>0</v>
      </c>
      <c r="C1022">
        <v>577.88496329999998</v>
      </c>
      <c r="D1022" s="2">
        <f t="shared" si="91"/>
        <v>-4.2230893107078771E-3</v>
      </c>
      <c r="E1022" s="2">
        <f t="shared" ca="1" si="92"/>
        <v>2.3890748884721136</v>
      </c>
      <c r="F1022">
        <f t="shared" ca="1" si="93"/>
        <v>2.3816087152082188</v>
      </c>
      <c r="G1022" s="3">
        <f t="shared" ca="1" si="96"/>
        <v>1.8112563425724046</v>
      </c>
      <c r="H1022">
        <f t="shared" ca="1" si="94"/>
        <v>1.3148932369372859</v>
      </c>
      <c r="I1022">
        <f t="shared" ca="1" si="95"/>
        <v>-1.7355555244787815</v>
      </c>
    </row>
    <row r="1023" spans="1:9" x14ac:dyDescent="0.3">
      <c r="A1023" s="1">
        <v>41663</v>
      </c>
      <c r="B1023" t="s">
        <v>0</v>
      </c>
      <c r="C1023">
        <v>559.81761019999999</v>
      </c>
      <c r="D1023" s="2">
        <f t="shared" si="91"/>
        <v>-3.1264618821065612E-2</v>
      </c>
      <c r="E1023" s="2">
        <f t="shared" ca="1" si="92"/>
        <v>2.8399136883111065</v>
      </c>
      <c r="F1023">
        <f t="shared" ca="1" si="93"/>
        <v>2.8404665384647014</v>
      </c>
      <c r="G1023" s="3">
        <f t="shared" ca="1" si="96"/>
        <v>1.8161585368018491</v>
      </c>
      <c r="H1023">
        <f t="shared" ca="1" si="94"/>
        <v>1.5639970194819004</v>
      </c>
      <c r="I1023">
        <f t="shared" ca="1" si="95"/>
        <v>-2.0880577765548956</v>
      </c>
    </row>
    <row r="1024" spans="1:9" x14ac:dyDescent="0.3">
      <c r="A1024" s="1">
        <v>41666</v>
      </c>
      <c r="B1024" t="s">
        <v>0</v>
      </c>
      <c r="C1024">
        <v>548.55977829999995</v>
      </c>
      <c r="D1024" s="2">
        <f t="shared" si="91"/>
        <v>-2.010982093967726E-2</v>
      </c>
      <c r="E1024" s="2">
        <f t="shared" ca="1" si="92"/>
        <v>0.91431367373166861</v>
      </c>
      <c r="F1024">
        <f t="shared" ca="1" si="93"/>
        <v>0.92626540634429333</v>
      </c>
      <c r="G1024" s="3">
        <f t="shared" ca="1" si="96"/>
        <v>1.8256999522747022</v>
      </c>
      <c r="H1024">
        <f t="shared" ca="1" si="94"/>
        <v>0.50734810240326045</v>
      </c>
      <c r="I1024">
        <f t="shared" ca="1" si="95"/>
        <v>0.15271758678189606</v>
      </c>
    </row>
    <row r="1025" spans="1:9" x14ac:dyDescent="0.3">
      <c r="A1025" s="1">
        <v>41667</v>
      </c>
      <c r="B1025" t="s">
        <v>0</v>
      </c>
      <c r="C1025">
        <v>559.4091621</v>
      </c>
      <c r="D1025" s="2">
        <f t="shared" si="91"/>
        <v>1.9777942585624046E-2</v>
      </c>
      <c r="E1025" s="2">
        <f t="shared" ca="1" si="92"/>
        <v>0.37121191467821407</v>
      </c>
      <c r="F1025">
        <f t="shared" ca="1" si="93"/>
        <v>0.39667634319336359</v>
      </c>
      <c r="G1025" s="3">
        <f t="shared" ca="1" si="96"/>
        <v>1.8206559068128376</v>
      </c>
      <c r="H1025">
        <f t="shared" ca="1" si="94"/>
        <v>0.21787551492240412</v>
      </c>
      <c r="I1025">
        <f t="shared" ca="1" si="95"/>
        <v>1.8467832403170013</v>
      </c>
    </row>
    <row r="1026" spans="1:9" x14ac:dyDescent="0.3">
      <c r="A1026" s="1">
        <v>41668</v>
      </c>
      <c r="B1026" t="s">
        <v>0</v>
      </c>
      <c r="C1026">
        <v>551.39419520000001</v>
      </c>
      <c r="D1026" s="2">
        <f t="shared" si="91"/>
        <v>-1.4327557435620324E-2</v>
      </c>
      <c r="E1026" s="2">
        <f t="shared" ca="1" si="92"/>
        <v>0.74716709053848684</v>
      </c>
      <c r="F1026">
        <f t="shared" ca="1" si="93"/>
        <v>0.75379231066480157</v>
      </c>
      <c r="G1026" s="3">
        <f t="shared" ca="1" si="96"/>
        <v>1.8142851339326866</v>
      </c>
      <c r="H1026">
        <f t="shared" ca="1" si="94"/>
        <v>0.41547620964675153</v>
      </c>
      <c r="I1026">
        <f t="shared" ca="1" si="95"/>
        <v>0.56491552043227822</v>
      </c>
    </row>
    <row r="1027" spans="1:9" x14ac:dyDescent="0.3">
      <c r="A1027" s="1">
        <v>41669</v>
      </c>
      <c r="B1027" t="s">
        <v>0</v>
      </c>
      <c r="C1027">
        <v>565.57604309999999</v>
      </c>
      <c r="D1027" s="2">
        <f t="shared" si="91"/>
        <v>2.5719980412300104E-2</v>
      </c>
      <c r="E1027" s="2">
        <f t="shared" ca="1" si="92"/>
        <v>0.461546270939582</v>
      </c>
      <c r="F1027">
        <f t="shared" ca="1" si="93"/>
        <v>0.45350259387890912</v>
      </c>
      <c r="G1027" s="3">
        <f t="shared" ca="1" si="96"/>
        <v>1.8088215607681803</v>
      </c>
      <c r="H1027">
        <f t="shared" ca="1" si="94"/>
        <v>0.25071715403829725</v>
      </c>
      <c r="I1027">
        <f t="shared" ca="1" si="95"/>
        <v>1.5782920931331088</v>
      </c>
    </row>
    <row r="1028" spans="1:9" x14ac:dyDescent="0.3">
      <c r="A1028" s="1">
        <v>41670</v>
      </c>
      <c r="B1028" t="s">
        <v>0</v>
      </c>
      <c r="C1028">
        <v>588.28097700000001</v>
      </c>
      <c r="D1028" s="2">
        <f t="shared" ref="D1028:D1091" si="97">(C1028-C1027)/C1027</f>
        <v>4.0144794280095659E-2</v>
      </c>
      <c r="E1028" s="2">
        <f t="shared" ca="1" si="92"/>
        <v>-2.0380170883272815</v>
      </c>
      <c r="F1028">
        <f t="shared" ca="1" si="93"/>
        <v>-2.0367641749166547</v>
      </c>
      <c r="G1028" s="3">
        <f t="shared" ca="1" si="96"/>
        <v>1.8026937055064738</v>
      </c>
      <c r="H1028">
        <f t="shared" ca="1" si="94"/>
        <v>-1.1298448364773193</v>
      </c>
      <c r="I1028">
        <f t="shared" ca="1" si="95"/>
        <v>-1.4231132069575561</v>
      </c>
    </row>
    <row r="1029" spans="1:9" x14ac:dyDescent="0.3">
      <c r="A1029" s="1">
        <v>41673</v>
      </c>
      <c r="B1029" t="s">
        <v>0</v>
      </c>
      <c r="C1029">
        <v>564.59972310000001</v>
      </c>
      <c r="D1029" s="2">
        <f t="shared" si="97"/>
        <v>-4.0255005390051904E-2</v>
      </c>
      <c r="E1029" s="2">
        <f t="shared" ca="1" si="92"/>
        <v>0.74677519632791289</v>
      </c>
      <c r="F1029">
        <f t="shared" ca="1" si="93"/>
        <v>0.718789659187267</v>
      </c>
      <c r="G1029" s="3">
        <f t="shared" ca="1" si="96"/>
        <v>1.8047397829195686</v>
      </c>
      <c r="H1029">
        <f t="shared" ca="1" si="94"/>
        <v>0.3982788355363146</v>
      </c>
      <c r="I1029">
        <f t="shared" ca="1" si="95"/>
        <v>0.65723658690130371</v>
      </c>
    </row>
    <row r="1030" spans="1:9" x14ac:dyDescent="0.3">
      <c r="A1030" s="1">
        <v>41674</v>
      </c>
      <c r="B1030" t="s">
        <v>0</v>
      </c>
      <c r="C1030">
        <v>566.95586719999994</v>
      </c>
      <c r="D1030" s="2">
        <f t="shared" si="97"/>
        <v>4.1731230172470796E-3</v>
      </c>
      <c r="E1030" s="2">
        <f t="shared" ref="E1030:E1093" ca="1" si="98">$N$9*D1029+$N$10*D1028+F1030</f>
        <v>-0.11066150377647183</v>
      </c>
      <c r="F1030">
        <f t="shared" ref="F1030:F1093" ca="1" si="99">G1030*H1030</f>
        <v>-0.12365688318816742</v>
      </c>
      <c r="G1030" s="3">
        <f t="shared" ca="1" si="96"/>
        <v>1.7993004988682382</v>
      </c>
      <c r="H1030">
        <f t="shared" ref="H1030:H1093" ca="1" si="100">_xlfn.NORM.S.INV(RAND())</f>
        <v>-6.8724975770277238E-2</v>
      </c>
      <c r="I1030">
        <f t="shared" ref="I1030:I1093" ca="1" si="101">-LN(F1030^2)-(D1030^2)/(F1030^2)</f>
        <v>4.1793503392183577</v>
      </c>
    </row>
    <row r="1031" spans="1:9" x14ac:dyDescent="0.3">
      <c r="A1031" s="1">
        <v>41675</v>
      </c>
      <c r="B1031" t="s">
        <v>0</v>
      </c>
      <c r="C1031">
        <v>569.46649179999997</v>
      </c>
      <c r="D1031" s="2">
        <f t="shared" si="97"/>
        <v>4.4282540233671801E-3</v>
      </c>
      <c r="E1031" s="2">
        <f t="shared" ca="1" si="98"/>
        <v>-0.57664917389897885</v>
      </c>
      <c r="F1031">
        <f t="shared" ca="1" si="99"/>
        <v>-0.55282679603916296</v>
      </c>
      <c r="G1031" s="3">
        <f t="shared" ref="G1031:G1094" ca="1" si="102">SQRT($N$6+$N$7*(H1030^2)+$N$8*(G1030^2))</f>
        <v>1.7928968700514856</v>
      </c>
      <c r="H1031">
        <f t="shared" ca="1" si="100"/>
        <v>-0.3083427749100191</v>
      </c>
      <c r="I1031">
        <f t="shared" ca="1" si="101"/>
        <v>1.185356905482982</v>
      </c>
    </row>
    <row r="1032" spans="1:9" x14ac:dyDescent="0.3">
      <c r="A1032" s="1">
        <v>41676</v>
      </c>
      <c r="B1032" t="s">
        <v>0</v>
      </c>
      <c r="C1032">
        <v>577.81519979999996</v>
      </c>
      <c r="D1032" s="2">
        <f t="shared" si="97"/>
        <v>1.4660578137988326E-2</v>
      </c>
      <c r="E1032" s="2">
        <f t="shared" ca="1" si="98"/>
        <v>-0.98578396844964999</v>
      </c>
      <c r="F1032">
        <f t="shared" ca="1" si="99"/>
        <v>-0.98970291068342164</v>
      </c>
      <c r="G1032" s="3">
        <f t="shared" ca="1" si="102"/>
        <v>1.7871764174034261</v>
      </c>
      <c r="H1032">
        <f t="shared" ca="1" si="100"/>
        <v>-0.55378019821980018</v>
      </c>
      <c r="I1032">
        <f t="shared" ca="1" si="101"/>
        <v>2.048151398718465E-2</v>
      </c>
    </row>
    <row r="1033" spans="1:9" x14ac:dyDescent="0.3">
      <c r="A1033" s="1">
        <v>41677</v>
      </c>
      <c r="B1033" t="s">
        <v>0</v>
      </c>
      <c r="C1033">
        <v>586.52255100000002</v>
      </c>
      <c r="D1033" s="2">
        <f t="shared" si="97"/>
        <v>1.5069439507672956E-2</v>
      </c>
      <c r="E1033" s="2">
        <f t="shared" ca="1" si="98"/>
        <v>-0.73840321875861181</v>
      </c>
      <c r="F1033">
        <f t="shared" ca="1" si="99"/>
        <v>-0.74553195565496078</v>
      </c>
      <c r="G1033" s="3">
        <f t="shared" ca="1" si="102"/>
        <v>1.7829523750101439</v>
      </c>
      <c r="H1033">
        <f t="shared" ca="1" si="100"/>
        <v>-0.4181446269145126</v>
      </c>
      <c r="I1033">
        <f t="shared" ca="1" si="101"/>
        <v>0.58690599645316344</v>
      </c>
    </row>
    <row r="1034" spans="1:9" x14ac:dyDescent="0.3">
      <c r="A1034" s="1">
        <v>41680</v>
      </c>
      <c r="B1034" t="s">
        <v>0</v>
      </c>
      <c r="C1034">
        <v>584.27596519999997</v>
      </c>
      <c r="D1034" s="2">
        <f t="shared" si="97"/>
        <v>-3.8303485452855978E-3</v>
      </c>
      <c r="E1034" s="2">
        <f t="shared" ca="1" si="98"/>
        <v>0.83296690347852487</v>
      </c>
      <c r="F1034">
        <f t="shared" ca="1" si="99"/>
        <v>0.81934462381566331</v>
      </c>
      <c r="G1034" s="3">
        <f t="shared" ca="1" si="102"/>
        <v>1.7778921730693473</v>
      </c>
      <c r="H1034">
        <f t="shared" ca="1" si="100"/>
        <v>0.46085169631021516</v>
      </c>
      <c r="I1034">
        <f t="shared" ca="1" si="101"/>
        <v>0.3984791404443116</v>
      </c>
    </row>
    <row r="1035" spans="1:9" x14ac:dyDescent="0.3">
      <c r="A1035" s="1">
        <v>41681</v>
      </c>
      <c r="B1035" t="s">
        <v>0</v>
      </c>
      <c r="C1035">
        <v>592.86881459999995</v>
      </c>
      <c r="D1035" s="2">
        <f t="shared" si="97"/>
        <v>1.4706833605689413E-2</v>
      </c>
      <c r="E1035" s="2">
        <f t="shared" ca="1" si="98"/>
        <v>-2.1682157473489858</v>
      </c>
      <c r="F1035">
        <f t="shared" ca="1" si="99"/>
        <v>-2.1764573600052826</v>
      </c>
      <c r="G1035" s="3">
        <f t="shared" ca="1" si="102"/>
        <v>1.7731496775677642</v>
      </c>
      <c r="H1035">
        <f t="shared" ca="1" si="100"/>
        <v>-1.2274527004345945</v>
      </c>
      <c r="I1035">
        <f t="shared" ca="1" si="101"/>
        <v>-1.5554426416915894</v>
      </c>
    </row>
    <row r="1036" spans="1:9" x14ac:dyDescent="0.3">
      <c r="A1036" s="1">
        <v>41682</v>
      </c>
      <c r="B1036" t="s">
        <v>0</v>
      </c>
      <c r="C1036">
        <v>591.13028610000003</v>
      </c>
      <c r="D1036" s="2">
        <f t="shared" si="97"/>
        <v>-2.932399979872235E-3</v>
      </c>
      <c r="E1036" s="2">
        <f t="shared" ca="1" si="98"/>
        <v>1.5653258612092948</v>
      </c>
      <c r="F1036">
        <f t="shared" ca="1" si="99"/>
        <v>1.563325937078256</v>
      </c>
      <c r="G1036" s="3">
        <f t="shared" ca="1" si="102"/>
        <v>1.777241290306665</v>
      </c>
      <c r="H1036">
        <f t="shared" ca="1" si="100"/>
        <v>0.87963629114677067</v>
      </c>
      <c r="I1036">
        <f t="shared" ca="1" si="101"/>
        <v>-0.89363464381507307</v>
      </c>
    </row>
    <row r="1037" spans="1:9" x14ac:dyDescent="0.3">
      <c r="A1037" s="1">
        <v>41683</v>
      </c>
      <c r="B1037" t="s">
        <v>0</v>
      </c>
      <c r="C1037">
        <v>597.71068060000005</v>
      </c>
      <c r="D1037" s="2">
        <f t="shared" si="97"/>
        <v>1.1131885228575181E-2</v>
      </c>
      <c r="E1037" s="2">
        <f t="shared" ca="1" si="98"/>
        <v>-1.075803016578299</v>
      </c>
      <c r="F1037">
        <f t="shared" ca="1" si="99"/>
        <v>-1.0840865729664659</v>
      </c>
      <c r="G1037" s="3">
        <f t="shared" ca="1" si="102"/>
        <v>1.7763093847863931</v>
      </c>
      <c r="H1037">
        <f t="shared" ca="1" si="100"/>
        <v>-0.61030278973436314</v>
      </c>
      <c r="I1037">
        <f t="shared" ca="1" si="101"/>
        <v>-0.16158096937565983</v>
      </c>
    </row>
    <row r="1038" spans="1:9" x14ac:dyDescent="0.3">
      <c r="A1038" s="1">
        <v>41684</v>
      </c>
      <c r="B1038" t="s">
        <v>0</v>
      </c>
      <c r="C1038">
        <v>599.15526299999999</v>
      </c>
      <c r="D1038" s="2">
        <f t="shared" si="97"/>
        <v>2.4168589367515223E-3</v>
      </c>
      <c r="E1038" s="2">
        <f t="shared" ca="1" si="98"/>
        <v>3.1925259327953608</v>
      </c>
      <c r="F1038">
        <f t="shared" ca="1" si="99"/>
        <v>3.1910327851157629</v>
      </c>
      <c r="G1038" s="3">
        <f t="shared" ca="1" si="102"/>
        <v>1.772672619540699</v>
      </c>
      <c r="H1038">
        <f t="shared" ca="1" si="100"/>
        <v>1.8001252740861775</v>
      </c>
      <c r="I1038">
        <f t="shared" ca="1" si="101"/>
        <v>-2.3206898166174876</v>
      </c>
    </row>
    <row r="1039" spans="1:9" x14ac:dyDescent="0.3">
      <c r="A1039" s="1">
        <v>41688</v>
      </c>
      <c r="B1039" t="s">
        <v>0</v>
      </c>
      <c r="C1039">
        <v>603.18017259999999</v>
      </c>
      <c r="D1039" s="2">
        <f t="shared" si="97"/>
        <v>6.7176403989962132E-3</v>
      </c>
      <c r="E1039" s="2">
        <f t="shared" ca="1" si="98"/>
        <v>-0.76025064391705277</v>
      </c>
      <c r="F1039">
        <f t="shared" ca="1" si="99"/>
        <v>-0.76790305589784136</v>
      </c>
      <c r="G1039" s="3">
        <f t="shared" ca="1" si="102"/>
        <v>1.7884621075222031</v>
      </c>
      <c r="H1039">
        <f t="shared" ca="1" si="100"/>
        <v>-0.42936501291700313</v>
      </c>
      <c r="I1039">
        <f t="shared" ca="1" si="101"/>
        <v>0.52810703814204096</v>
      </c>
    </row>
    <row r="1040" spans="1:9" x14ac:dyDescent="0.3">
      <c r="A1040" s="1">
        <v>41689</v>
      </c>
      <c r="B1040" t="s">
        <v>0</v>
      </c>
      <c r="C1040">
        <v>598.92613679999999</v>
      </c>
      <c r="D1040" s="2">
        <f t="shared" si="97"/>
        <v>-7.0526784421030171E-3</v>
      </c>
      <c r="E1040" s="2">
        <f t="shared" ca="1" si="98"/>
        <v>0.89784327796551955</v>
      </c>
      <c r="F1040">
        <f t="shared" ca="1" si="99"/>
        <v>0.89433533967768253</v>
      </c>
      <c r="G1040" s="3">
        <f t="shared" ca="1" si="102"/>
        <v>1.7833972861724567</v>
      </c>
      <c r="H1040">
        <f t="shared" ca="1" si="100"/>
        <v>0.50147846843319643</v>
      </c>
      <c r="I1040">
        <f t="shared" ca="1" si="101"/>
        <v>0.22328675954769131</v>
      </c>
    </row>
    <row r="1041" spans="1:9" x14ac:dyDescent="0.3">
      <c r="A1041" s="1">
        <v>41690</v>
      </c>
      <c r="B1041" t="s">
        <v>0</v>
      </c>
      <c r="C1041">
        <v>599.80779110000003</v>
      </c>
      <c r="D1041" s="2">
        <f t="shared" si="97"/>
        <v>1.4720584823875338E-3</v>
      </c>
      <c r="E1041" s="2">
        <f t="shared" ca="1" si="98"/>
        <v>1.0326111738560375</v>
      </c>
      <c r="F1041">
        <f t="shared" ca="1" si="99"/>
        <v>1.0305309863379795</v>
      </c>
      <c r="G1041" s="3">
        <f t="shared" ca="1" si="102"/>
        <v>1.7788493846014615</v>
      </c>
      <c r="H1041">
        <f t="shared" ca="1" si="100"/>
        <v>0.57932447528089204</v>
      </c>
      <c r="I1041">
        <f t="shared" ca="1" si="101"/>
        <v>-6.0150420705436983E-2</v>
      </c>
    </row>
    <row r="1042" spans="1:9" x14ac:dyDescent="0.3">
      <c r="A1042" s="1">
        <v>41691</v>
      </c>
      <c r="B1042" t="s">
        <v>0</v>
      </c>
      <c r="C1042">
        <v>599.64842799999997</v>
      </c>
      <c r="D1042" s="2">
        <f t="shared" si="97"/>
        <v>-2.6569028006089224E-4</v>
      </c>
      <c r="E1042" s="2">
        <f t="shared" ca="1" si="98"/>
        <v>0.91670995088738672</v>
      </c>
      <c r="F1042">
        <f t="shared" ca="1" si="99"/>
        <v>0.92066271349737827</v>
      </c>
      <c r="G1042" s="3">
        <f t="shared" ca="1" si="102"/>
        <v>1.7749294188725837</v>
      </c>
      <c r="H1042">
        <f t="shared" ca="1" si="100"/>
        <v>0.51870384461945163</v>
      </c>
      <c r="I1042">
        <f t="shared" ca="1" si="101"/>
        <v>0.165322971721996</v>
      </c>
    </row>
    <row r="1043" spans="1:9" x14ac:dyDescent="0.3">
      <c r="A1043" s="1">
        <v>41694</v>
      </c>
      <c r="B1043" t="s">
        <v>0</v>
      </c>
      <c r="C1043">
        <v>603.99212469999998</v>
      </c>
      <c r="D1043" s="2">
        <f t="shared" si="97"/>
        <v>7.2437389930087668E-3</v>
      </c>
      <c r="E1043" s="2">
        <f t="shared" ca="1" si="98"/>
        <v>-0.76406548634718641</v>
      </c>
      <c r="F1043">
        <f t="shared" ca="1" si="99"/>
        <v>-0.76490291264360133</v>
      </c>
      <c r="G1043" s="3">
        <f t="shared" ca="1" si="102"/>
        <v>1.7706091398983759</v>
      </c>
      <c r="H1043">
        <f t="shared" ca="1" si="100"/>
        <v>-0.43199986682973007</v>
      </c>
      <c r="I1043">
        <f t="shared" ca="1" si="101"/>
        <v>0.53592304598869633</v>
      </c>
    </row>
    <row r="1044" spans="1:9" x14ac:dyDescent="0.3">
      <c r="A1044" s="1">
        <v>41695</v>
      </c>
      <c r="B1044" t="s">
        <v>0</v>
      </c>
      <c r="C1044">
        <v>607.72314889999996</v>
      </c>
      <c r="D1044" s="2">
        <f t="shared" si="97"/>
        <v>6.1772729269494384E-3</v>
      </c>
      <c r="E1044" s="2">
        <f t="shared" ca="1" si="98"/>
        <v>0.41646601172574288</v>
      </c>
      <c r="F1044">
        <f t="shared" ca="1" si="99"/>
        <v>0.41447162355760331</v>
      </c>
      <c r="G1044" s="3">
        <f t="shared" ca="1" si="102"/>
        <v>1.7657836226345842</v>
      </c>
      <c r="H1044">
        <f t="shared" ca="1" si="100"/>
        <v>0.23472390288635897</v>
      </c>
      <c r="I1044">
        <f t="shared" ca="1" si="101"/>
        <v>1.7612794040601223</v>
      </c>
    </row>
    <row r="1045" spans="1:9" x14ac:dyDescent="0.3">
      <c r="A1045" s="1">
        <v>41696</v>
      </c>
      <c r="B1045" t="s">
        <v>0</v>
      </c>
      <c r="C1045">
        <v>607.8078051</v>
      </c>
      <c r="D1045" s="2">
        <f t="shared" si="97"/>
        <v>1.3930060119195892E-4</v>
      </c>
      <c r="E1045" s="2">
        <f t="shared" ca="1" si="98"/>
        <v>2.0022546010820124</v>
      </c>
      <c r="F1045">
        <f t="shared" ca="1" si="99"/>
        <v>1.995902099428259</v>
      </c>
      <c r="G1045" s="3">
        <f t="shared" ca="1" si="102"/>
        <v>1.7601210714070317</v>
      </c>
      <c r="H1045">
        <f t="shared" ca="1" si="100"/>
        <v>1.1339572781960647</v>
      </c>
      <c r="I1045">
        <f t="shared" ca="1" si="101"/>
        <v>-1.3821922614785558</v>
      </c>
    </row>
    <row r="1046" spans="1:9" x14ac:dyDescent="0.3">
      <c r="A1046" s="1">
        <v>41697</v>
      </c>
      <c r="B1046" t="s">
        <v>0</v>
      </c>
      <c r="C1046">
        <v>607.32965490000004</v>
      </c>
      <c r="D1046" s="2">
        <f t="shared" si="97"/>
        <v>-7.8667992741766641E-4</v>
      </c>
      <c r="E1046" s="2">
        <f t="shared" ca="1" si="98"/>
        <v>1.1509539924121799</v>
      </c>
      <c r="F1046">
        <f t="shared" ca="1" si="99"/>
        <v>1.1470658903345785</v>
      </c>
      <c r="G1046" s="3">
        <f t="shared" ca="1" si="102"/>
        <v>1.7629378319198696</v>
      </c>
      <c r="H1046">
        <f t="shared" ca="1" si="100"/>
        <v>0.65065589356909082</v>
      </c>
      <c r="I1046">
        <f t="shared" ca="1" si="101"/>
        <v>-0.27441503494613745</v>
      </c>
    </row>
    <row r="1047" spans="1:9" x14ac:dyDescent="0.3">
      <c r="A1047" s="1">
        <v>41698</v>
      </c>
      <c r="B1047" t="s">
        <v>0</v>
      </c>
      <c r="C1047">
        <v>605.55627489999995</v>
      </c>
      <c r="D1047" s="2">
        <f t="shared" si="97"/>
        <v>-2.9199628005849385E-3</v>
      </c>
      <c r="E1047" s="2">
        <f t="shared" ca="1" si="98"/>
        <v>-1.0741551303135217</v>
      </c>
      <c r="F1047">
        <f t="shared" ca="1" si="99"/>
        <v>-1.0740073115707356</v>
      </c>
      <c r="G1047" s="3">
        <f t="shared" ca="1" si="102"/>
        <v>1.7598265687696837</v>
      </c>
      <c r="H1047">
        <f t="shared" ca="1" si="100"/>
        <v>-0.61029156544760388</v>
      </c>
      <c r="I1047">
        <f t="shared" ca="1" si="101"/>
        <v>-0.1428009993439765</v>
      </c>
    </row>
    <row r="1048" spans="1:9" x14ac:dyDescent="0.3">
      <c r="A1048" s="1">
        <v>41701</v>
      </c>
      <c r="B1048" t="s">
        <v>0</v>
      </c>
      <c r="C1048">
        <v>599.10045339999999</v>
      </c>
      <c r="D1048" s="2">
        <f t="shared" si="97"/>
        <v>-1.0660976968764883E-2</v>
      </c>
      <c r="E1048" s="2">
        <f t="shared" ca="1" si="98"/>
        <v>-1.2657720793447225</v>
      </c>
      <c r="F1048">
        <f t="shared" ca="1" si="99"/>
        <v>-1.2644115843569097</v>
      </c>
      <c r="G1048" s="3">
        <f t="shared" ca="1" si="102"/>
        <v>1.7564092441559023</v>
      </c>
      <c r="H1048">
        <f t="shared" ca="1" si="100"/>
        <v>-0.71988438261981613</v>
      </c>
      <c r="I1048">
        <f t="shared" ca="1" si="101"/>
        <v>-0.46928481791649396</v>
      </c>
    </row>
    <row r="1049" spans="1:9" x14ac:dyDescent="0.3">
      <c r="A1049" s="1">
        <v>41702</v>
      </c>
      <c r="B1049" t="s">
        <v>0</v>
      </c>
      <c r="C1049">
        <v>605.18762219999996</v>
      </c>
      <c r="D1049" s="2">
        <f t="shared" si="97"/>
        <v>1.0160514427011736E-2</v>
      </c>
      <c r="E1049" s="2">
        <f t="shared" ca="1" si="98"/>
        <v>3.977268804244948</v>
      </c>
      <c r="F1049">
        <f t="shared" ca="1" si="99"/>
        <v>3.9822657903329994</v>
      </c>
      <c r="G1049" s="3">
        <f t="shared" ca="1" si="102"/>
        <v>1.7540367963842352</v>
      </c>
      <c r="H1049">
        <f t="shared" ca="1" si="100"/>
        <v>2.2703433579854351</v>
      </c>
      <c r="I1049">
        <f t="shared" ca="1" si="101"/>
        <v>-2.7637084125758511</v>
      </c>
    </row>
    <row r="1050" spans="1:9" x14ac:dyDescent="0.3">
      <c r="A1050" s="1">
        <v>41703</v>
      </c>
      <c r="B1050" t="s">
        <v>0</v>
      </c>
      <c r="C1050">
        <v>606.85638730000005</v>
      </c>
      <c r="D1050" s="2">
        <f t="shared" si="97"/>
        <v>2.7574342877895149E-3</v>
      </c>
      <c r="E1050" s="2">
        <f t="shared" ca="1" si="98"/>
        <v>-0.9429053617332378</v>
      </c>
      <c r="F1050">
        <f t="shared" ca="1" si="99"/>
        <v>-0.9392963208408448</v>
      </c>
      <c r="G1050" s="3">
        <f t="shared" ca="1" si="102"/>
        <v>1.7832233540926565</v>
      </c>
      <c r="H1050">
        <f t="shared" ca="1" si="100"/>
        <v>-0.52674070171023502</v>
      </c>
      <c r="I1050">
        <f t="shared" ca="1" si="101"/>
        <v>0.12523993983814763</v>
      </c>
    </row>
    <row r="1051" spans="1:9" x14ac:dyDescent="0.3">
      <c r="A1051" s="1">
        <v>41704</v>
      </c>
      <c r="B1051" t="s">
        <v>0</v>
      </c>
      <c r="C1051">
        <v>607.5288736</v>
      </c>
      <c r="D1051" s="2">
        <f t="shared" si="97"/>
        <v>1.1081473542561588E-3</v>
      </c>
      <c r="E1051" s="2">
        <f t="shared" ca="1" si="98"/>
        <v>0.35169263918648319</v>
      </c>
      <c r="F1051">
        <f t="shared" ca="1" si="99"/>
        <v>0.34454354879649607</v>
      </c>
      <c r="G1051" s="3">
        <f t="shared" ca="1" si="102"/>
        <v>1.7788531793082345</v>
      </c>
      <c r="H1051">
        <f t="shared" ca="1" si="100"/>
        <v>0.19368858138729761</v>
      </c>
      <c r="I1051">
        <f t="shared" ca="1" si="101"/>
        <v>2.1310592253984963</v>
      </c>
    </row>
    <row r="1052" spans="1:9" x14ac:dyDescent="0.3">
      <c r="A1052" s="1">
        <v>41705</v>
      </c>
      <c r="B1052" t="s">
        <v>0</v>
      </c>
      <c r="C1052">
        <v>605.12786870000002</v>
      </c>
      <c r="D1052" s="2">
        <f t="shared" si="97"/>
        <v>-3.9520836034878052E-3</v>
      </c>
      <c r="E1052" s="2">
        <f t="shared" ca="1" si="98"/>
        <v>2.4067975018373771</v>
      </c>
      <c r="F1052">
        <f t="shared" ca="1" si="99"/>
        <v>2.4047500453681265</v>
      </c>
      <c r="G1052" s="3">
        <f t="shared" ca="1" si="102"/>
        <v>1.7729134875440142</v>
      </c>
      <c r="H1052">
        <f t="shared" ca="1" si="100"/>
        <v>1.3563831863558016</v>
      </c>
      <c r="I1052">
        <f t="shared" ca="1" si="101"/>
        <v>-1.7548946347572649</v>
      </c>
    </row>
    <row r="1053" spans="1:9" x14ac:dyDescent="0.3">
      <c r="A1053" s="1">
        <v>41708</v>
      </c>
      <c r="B1053" t="s">
        <v>0</v>
      </c>
      <c r="C1053">
        <v>603.52386190000004</v>
      </c>
      <c r="D1053" s="2">
        <f t="shared" si="97"/>
        <v>-2.6506906770727267E-3</v>
      </c>
      <c r="E1053" s="2">
        <f t="shared" ca="1" si="98"/>
        <v>1.9136359126942948</v>
      </c>
      <c r="F1053">
        <f t="shared" ca="1" si="99"/>
        <v>1.9141242477449827</v>
      </c>
      <c r="G1053" s="3">
        <f t="shared" ca="1" si="102"/>
        <v>1.7792609342613097</v>
      </c>
      <c r="H1053">
        <f t="shared" ca="1" si="100"/>
        <v>1.0757973779375221</v>
      </c>
      <c r="I1053">
        <f t="shared" ca="1" si="101"/>
        <v>-1.2985223299898103</v>
      </c>
    </row>
    <row r="1054" spans="1:9" x14ac:dyDescent="0.3">
      <c r="A1054" s="1">
        <v>41709</v>
      </c>
      <c r="B1054" t="s">
        <v>0</v>
      </c>
      <c r="C1054">
        <v>597.75548070000002</v>
      </c>
      <c r="D1054" s="2">
        <f t="shared" si="97"/>
        <v>-9.5578345184896846E-3</v>
      </c>
      <c r="E1054" s="2">
        <f t="shared" ca="1" si="98"/>
        <v>-3.8607472140680108</v>
      </c>
      <c r="F1054">
        <f t="shared" ca="1" si="99"/>
        <v>-3.8574959203055212</v>
      </c>
      <c r="G1054" s="3">
        <f t="shared" ca="1" si="102"/>
        <v>1.7808897350724762</v>
      </c>
      <c r="H1054">
        <f t="shared" ca="1" si="100"/>
        <v>-2.1660498369645182</v>
      </c>
      <c r="I1054">
        <f t="shared" ca="1" si="101"/>
        <v>-2.7000426344553867</v>
      </c>
    </row>
    <row r="1055" spans="1:9" x14ac:dyDescent="0.3">
      <c r="A1055" s="1">
        <v>41710</v>
      </c>
      <c r="B1055" t="s">
        <v>0</v>
      </c>
      <c r="C1055">
        <v>601.39684399999999</v>
      </c>
      <c r="D1055" s="2">
        <f t="shared" si="97"/>
        <v>6.0917271653214405E-3</v>
      </c>
      <c r="E1055" s="2">
        <f t="shared" ca="1" si="98"/>
        <v>1.5923802157677298</v>
      </c>
      <c r="F1055">
        <f t="shared" ca="1" si="99"/>
        <v>1.5968806080389981</v>
      </c>
      <c r="G1055" s="3">
        <f t="shared" ca="1" si="102"/>
        <v>1.8061660832415216</v>
      </c>
      <c r="H1055">
        <f t="shared" ca="1" si="100"/>
        <v>0.88412722553901613</v>
      </c>
      <c r="I1055">
        <f t="shared" ca="1" si="101"/>
        <v>-0.93611876502049463</v>
      </c>
    </row>
    <row r="1056" spans="1:9" x14ac:dyDescent="0.3">
      <c r="A1056" s="1">
        <v>41711</v>
      </c>
      <c r="B1056" t="s">
        <v>0</v>
      </c>
      <c r="C1056">
        <v>592.31089139999995</v>
      </c>
      <c r="D1056" s="2">
        <f t="shared" si="97"/>
        <v>-1.5108081611416042E-2</v>
      </c>
      <c r="E1056" s="2">
        <f t="shared" ca="1" si="98"/>
        <v>0.30105275616382909</v>
      </c>
      <c r="F1056">
        <f t="shared" ca="1" si="99"/>
        <v>0.30518804564175422</v>
      </c>
      <c r="G1056" s="3">
        <f t="shared" ca="1" si="102"/>
        <v>1.8048629395869478</v>
      </c>
      <c r="H1056">
        <f t="shared" ca="1" si="100"/>
        <v>0.16909208945893592</v>
      </c>
      <c r="I1056">
        <f t="shared" ca="1" si="101"/>
        <v>2.3712036354629014</v>
      </c>
    </row>
    <row r="1057" spans="1:9" x14ac:dyDescent="0.3">
      <c r="A1057" s="1">
        <v>41712</v>
      </c>
      <c r="B1057" t="s">
        <v>0</v>
      </c>
      <c r="C1057">
        <v>584.21126770000001</v>
      </c>
      <c r="D1057" s="2">
        <f t="shared" si="97"/>
        <v>-1.3674615506149949E-2</v>
      </c>
      <c r="E1057" s="2">
        <f t="shared" ca="1" si="98"/>
        <v>-0.60872850329681527</v>
      </c>
      <c r="F1057">
        <f t="shared" ca="1" si="99"/>
        <v>-0.60801709387634806</v>
      </c>
      <c r="G1057" s="3">
        <f t="shared" ca="1" si="102"/>
        <v>1.7985534177158402</v>
      </c>
      <c r="H1057">
        <f t="shared" ca="1" si="100"/>
        <v>-0.33805895776425077</v>
      </c>
      <c r="I1057">
        <f t="shared" ca="1" si="101"/>
        <v>0.99459874185369057</v>
      </c>
    </row>
    <row r="1058" spans="1:9" x14ac:dyDescent="0.3">
      <c r="A1058" s="1">
        <v>41715</v>
      </c>
      <c r="B1058" t="s">
        <v>0</v>
      </c>
      <c r="C1058">
        <v>593.8252367</v>
      </c>
      <c r="D1058" s="2">
        <f t="shared" si="97"/>
        <v>1.6456322449667118E-2</v>
      </c>
      <c r="E1058" s="2">
        <f t="shared" ca="1" si="98"/>
        <v>0.63849067176011864</v>
      </c>
      <c r="F1058">
        <f t="shared" ca="1" si="99"/>
        <v>0.65197572204518139</v>
      </c>
      <c r="G1058" s="3">
        <f t="shared" ca="1" si="102"/>
        <v>1.7928931680776141</v>
      </c>
      <c r="H1058">
        <f t="shared" ca="1" si="100"/>
        <v>0.36364449017575678</v>
      </c>
      <c r="I1058">
        <f t="shared" ca="1" si="101"/>
        <v>0.85485881490473004</v>
      </c>
    </row>
    <row r="1059" spans="1:9" x14ac:dyDescent="0.3">
      <c r="A1059" s="1">
        <v>41716</v>
      </c>
      <c r="B1059" t="s">
        <v>0</v>
      </c>
      <c r="C1059">
        <v>603.36944270000004</v>
      </c>
      <c r="D1059" s="2">
        <f t="shared" si="97"/>
        <v>1.6072415603349904E-2</v>
      </c>
      <c r="E1059" s="2">
        <f t="shared" ca="1" si="98"/>
        <v>-1.1252395026752102</v>
      </c>
      <c r="F1059">
        <f t="shared" ca="1" si="99"/>
        <v>-1.1216310713902424</v>
      </c>
      <c r="G1059" s="3">
        <f t="shared" ca="1" si="102"/>
        <v>1.7874226539209659</v>
      </c>
      <c r="H1059">
        <f t="shared" ca="1" si="100"/>
        <v>-0.62751306688979525</v>
      </c>
      <c r="I1059">
        <f t="shared" ca="1" si="101"/>
        <v>-0.22977321395484601</v>
      </c>
    </row>
    <row r="1060" spans="1:9" x14ac:dyDescent="0.3">
      <c r="A1060" s="1">
        <v>41717</v>
      </c>
      <c r="B1060" t="s">
        <v>0</v>
      </c>
      <c r="C1060">
        <v>597.38688879999995</v>
      </c>
      <c r="D1060" s="2">
        <f t="shared" si="97"/>
        <v>-9.9152417683416837E-3</v>
      </c>
      <c r="E1060" s="2">
        <f t="shared" ca="1" si="98"/>
        <v>1.3795309830370444</v>
      </c>
      <c r="F1060">
        <f t="shared" ca="1" si="99"/>
        <v>1.3644914465119273</v>
      </c>
      <c r="G1060" s="3">
        <f t="shared" ca="1" si="102"/>
        <v>1.78378237143038</v>
      </c>
      <c r="H1060">
        <f t="shared" ca="1" si="100"/>
        <v>0.76494278022142825</v>
      </c>
      <c r="I1060">
        <f t="shared" ca="1" si="101"/>
        <v>-0.62161638889375304</v>
      </c>
    </row>
    <row r="1061" spans="1:9" x14ac:dyDescent="0.3">
      <c r="A1061" s="1">
        <v>41718</v>
      </c>
      <c r="B1061" t="s">
        <v>0</v>
      </c>
      <c r="C1061">
        <v>596.3457492</v>
      </c>
      <c r="D1061" s="2">
        <f t="shared" si="97"/>
        <v>-1.7428229837640713E-3</v>
      </c>
      <c r="E1061" s="2">
        <f t="shared" ca="1" si="98"/>
        <v>-1.7834118159215566</v>
      </c>
      <c r="F1061">
        <f t="shared" ca="1" si="99"/>
        <v>-1.7904636736119062</v>
      </c>
      <c r="G1061" s="3">
        <f t="shared" ca="1" si="102"/>
        <v>1.7814819528763577</v>
      </c>
      <c r="H1061">
        <f t="shared" ca="1" si="100"/>
        <v>-1.0050417130081204</v>
      </c>
      <c r="I1061">
        <f t="shared" ca="1" si="101"/>
        <v>-1.1649501911842088</v>
      </c>
    </row>
    <row r="1062" spans="1:9" x14ac:dyDescent="0.3">
      <c r="A1062" s="1">
        <v>41719</v>
      </c>
      <c r="B1062" t="s">
        <v>0</v>
      </c>
      <c r="C1062">
        <v>589.31210650000003</v>
      </c>
      <c r="D1062" s="2">
        <f t="shared" si="97"/>
        <v>-1.1794571705148617E-2</v>
      </c>
      <c r="E1062" s="2">
        <f t="shared" ca="1" si="98"/>
        <v>0.20966055376355655</v>
      </c>
      <c r="F1062">
        <f t="shared" ca="1" si="99"/>
        <v>0.21635439165248949</v>
      </c>
      <c r="G1062" s="3">
        <f t="shared" ca="1" si="102"/>
        <v>1.7820821568752889</v>
      </c>
      <c r="H1062">
        <f t="shared" ca="1" si="100"/>
        <v>0.12140539694973787</v>
      </c>
      <c r="I1062">
        <f t="shared" ca="1" si="101"/>
        <v>3.0587031360742172</v>
      </c>
    </row>
    <row r="1063" spans="1:9" x14ac:dyDescent="0.3">
      <c r="A1063" s="1">
        <v>41722</v>
      </c>
      <c r="B1063" t="s">
        <v>0</v>
      </c>
      <c r="C1063">
        <v>576.80396759999996</v>
      </c>
      <c r="D1063" s="2">
        <f t="shared" si="97"/>
        <v>-2.1224982080017836E-2</v>
      </c>
      <c r="E1063" s="2">
        <f t="shared" ca="1" si="98"/>
        <v>1.0296438894436226</v>
      </c>
      <c r="F1063">
        <f t="shared" ca="1" si="99"/>
        <v>1.0342458732289839</v>
      </c>
      <c r="G1063" s="3">
        <f t="shared" ca="1" si="102"/>
        <v>1.7759496529707146</v>
      </c>
      <c r="H1063">
        <f t="shared" ca="1" si="100"/>
        <v>0.58236215846488226</v>
      </c>
      <c r="I1063">
        <f t="shared" ca="1" si="101"/>
        <v>-6.7766232438836893E-2</v>
      </c>
    </row>
    <row r="1064" spans="1:9" x14ac:dyDescent="0.3">
      <c r="A1064" s="1">
        <v>41723</v>
      </c>
      <c r="B1064" t="s">
        <v>0</v>
      </c>
      <c r="C1064">
        <v>577.19752300000005</v>
      </c>
      <c r="D1064" s="2">
        <f t="shared" si="97"/>
        <v>6.8230355910624295E-4</v>
      </c>
      <c r="E1064" s="2">
        <f t="shared" ca="1" si="98"/>
        <v>-1.9500203691088613</v>
      </c>
      <c r="F1064">
        <f t="shared" ca="1" si="99"/>
        <v>-1.9363473721243849</v>
      </c>
      <c r="G1064" s="3">
        <f t="shared" ca="1" si="102"/>
        <v>1.7720916686748505</v>
      </c>
      <c r="H1064">
        <f t="shared" ca="1" si="100"/>
        <v>-1.0926902972081365</v>
      </c>
      <c r="I1064">
        <f t="shared" ca="1" si="101"/>
        <v>-1.3216069251807105</v>
      </c>
    </row>
    <row r="1065" spans="1:9" x14ac:dyDescent="0.3">
      <c r="A1065" s="1">
        <v>41724</v>
      </c>
      <c r="B1065" t="s">
        <v>0</v>
      </c>
      <c r="C1065">
        <v>563.87242670000001</v>
      </c>
      <c r="D1065" s="2">
        <f t="shared" si="97"/>
        <v>-2.3085851496282391E-2</v>
      </c>
      <c r="E1065" s="2">
        <f t="shared" ca="1" si="98"/>
        <v>-0.70177261822751491</v>
      </c>
      <c r="F1065">
        <f t="shared" ca="1" si="99"/>
        <v>-0.6887593313185888</v>
      </c>
      <c r="G1065" s="3">
        <f t="shared" ca="1" si="102"/>
        <v>1.7740849501890437</v>
      </c>
      <c r="H1065">
        <f t="shared" ca="1" si="100"/>
        <v>-0.38823356866039349</v>
      </c>
      <c r="I1065">
        <f t="shared" ca="1" si="101"/>
        <v>0.74460328292209976</v>
      </c>
    </row>
    <row r="1066" spans="1:9" x14ac:dyDescent="0.3">
      <c r="A1066" s="1">
        <v>41725</v>
      </c>
      <c r="B1066" t="s">
        <v>0</v>
      </c>
      <c r="C1066">
        <v>556.93349009999997</v>
      </c>
      <c r="D1066" s="2">
        <f t="shared" si="97"/>
        <v>-1.2305862587765427E-2</v>
      </c>
      <c r="E1066" s="2">
        <f t="shared" ca="1" si="98"/>
        <v>-0.92989809052975592</v>
      </c>
      <c r="F1066">
        <f t="shared" ca="1" si="99"/>
        <v>-0.92343955562077085</v>
      </c>
      <c r="G1066" s="3">
        <f t="shared" ca="1" si="102"/>
        <v>1.7689718026359225</v>
      </c>
      <c r="H1066">
        <f t="shared" ca="1" si="100"/>
        <v>-0.52202050606163719</v>
      </c>
      <c r="I1066">
        <f t="shared" ca="1" si="101"/>
        <v>0.15912228042807541</v>
      </c>
    </row>
    <row r="1067" spans="1:9" x14ac:dyDescent="0.3">
      <c r="A1067" s="1">
        <v>41726</v>
      </c>
      <c r="B1067" t="s">
        <v>0</v>
      </c>
      <c r="C1067">
        <v>558.45931499999995</v>
      </c>
      <c r="D1067" s="2">
        <f t="shared" si="97"/>
        <v>2.7396896166650099E-3</v>
      </c>
      <c r="E1067" s="2">
        <f t="shared" ca="1" si="98"/>
        <v>0.42349523433769998</v>
      </c>
      <c r="F1067">
        <f t="shared" ca="1" si="99"/>
        <v>0.44153990076824773</v>
      </c>
      <c r="G1067" s="3">
        <f t="shared" ca="1" si="102"/>
        <v>1.7647518962269426</v>
      </c>
      <c r="H1067">
        <f t="shared" ca="1" si="100"/>
        <v>0.25019941993674266</v>
      </c>
      <c r="I1067">
        <f t="shared" ca="1" si="101"/>
        <v>1.6349352749264601</v>
      </c>
    </row>
    <row r="1068" spans="1:9" x14ac:dyDescent="0.3">
      <c r="A1068" s="1">
        <v>41729</v>
      </c>
      <c r="B1068" t="s">
        <v>0</v>
      </c>
      <c r="C1068">
        <v>555.4475218</v>
      </c>
      <c r="D1068" s="2">
        <f t="shared" si="97"/>
        <v>-5.3930395985962616E-3</v>
      </c>
      <c r="E1068" s="2">
        <f t="shared" ca="1" si="98"/>
        <v>-2.5644357537850144</v>
      </c>
      <c r="F1068">
        <f t="shared" ca="1" si="99"/>
        <v>-2.5575898145506648</v>
      </c>
      <c r="G1068" s="3">
        <f t="shared" ca="1" si="102"/>
        <v>1.7591531226293835</v>
      </c>
      <c r="H1068">
        <f t="shared" ca="1" si="100"/>
        <v>-1.4538756073307981</v>
      </c>
      <c r="I1068">
        <f t="shared" ca="1" si="101"/>
        <v>-1.8781351190300659</v>
      </c>
    </row>
    <row r="1069" spans="1:9" x14ac:dyDescent="0.3">
      <c r="A1069" s="1">
        <v>41730</v>
      </c>
      <c r="B1069" t="s">
        <v>0</v>
      </c>
      <c r="C1069">
        <v>565.60967659999994</v>
      </c>
      <c r="D1069" s="2">
        <f t="shared" si="97"/>
        <v>1.8295436384463744E-2</v>
      </c>
      <c r="E1069" s="2">
        <f t="shared" ca="1" si="98"/>
        <v>1.9265705614192885</v>
      </c>
      <c r="F1069">
        <f t="shared" ca="1" si="99"/>
        <v>1.9264725837701051</v>
      </c>
      <c r="G1069" s="3">
        <f t="shared" ca="1" si="102"/>
        <v>1.7676242837347578</v>
      </c>
      <c r="H1069">
        <f t="shared" ca="1" si="100"/>
        <v>1.0898654207780636</v>
      </c>
      <c r="I1069">
        <f t="shared" ca="1" si="101"/>
        <v>-1.3114714980593316</v>
      </c>
    </row>
    <row r="1070" spans="1:9" x14ac:dyDescent="0.3">
      <c r="A1070" s="1">
        <v>41731</v>
      </c>
      <c r="B1070" t="s">
        <v>0</v>
      </c>
      <c r="C1070">
        <v>565.45013070000005</v>
      </c>
      <c r="D1070" s="2">
        <f t="shared" si="97"/>
        <v>-2.8207774124191533E-4</v>
      </c>
      <c r="E1070" s="2">
        <f t="shared" ca="1" si="98"/>
        <v>-0.69201283314916739</v>
      </c>
      <c r="F1070">
        <f t="shared" ca="1" si="99"/>
        <v>-0.69410967205029162</v>
      </c>
      <c r="G1070" s="3">
        <f t="shared" ca="1" si="102"/>
        <v>1.7696490269398828</v>
      </c>
      <c r="H1070">
        <f t="shared" ca="1" si="100"/>
        <v>-0.39223013235034621</v>
      </c>
      <c r="I1070">
        <f t="shared" ca="1" si="101"/>
        <v>0.73025043898825537</v>
      </c>
    </row>
    <row r="1071" spans="1:9" x14ac:dyDescent="0.3">
      <c r="A1071" s="1">
        <v>41732</v>
      </c>
      <c r="B1071" t="s">
        <v>0</v>
      </c>
      <c r="C1071">
        <v>568.18262560000005</v>
      </c>
      <c r="D1071" s="2">
        <f t="shared" si="97"/>
        <v>4.8324242079797715E-3</v>
      </c>
      <c r="E1071" s="2">
        <f t="shared" ca="1" si="98"/>
        <v>-1.7746702964333487</v>
      </c>
      <c r="F1071">
        <f t="shared" ca="1" si="99"/>
        <v>-1.7859786984191639</v>
      </c>
      <c r="G1071" s="3">
        <f t="shared" ca="1" si="102"/>
        <v>1.7646123636456288</v>
      </c>
      <c r="H1071">
        <f t="shared" ca="1" si="100"/>
        <v>-1.0121082313678189</v>
      </c>
      <c r="I1071">
        <f t="shared" ca="1" si="101"/>
        <v>-1.1599404319329238</v>
      </c>
    </row>
    <row r="1072" spans="1:9" x14ac:dyDescent="0.3">
      <c r="A1072" s="1">
        <v>41733</v>
      </c>
      <c r="B1072" t="s">
        <v>0</v>
      </c>
      <c r="C1072">
        <v>541.65534530000002</v>
      </c>
      <c r="D1072" s="2">
        <f t="shared" si="97"/>
        <v>-4.6687946981812861E-2</v>
      </c>
      <c r="E1072" s="2">
        <f t="shared" ca="1" si="98"/>
        <v>-2.8013846834562441</v>
      </c>
      <c r="F1072">
        <f t="shared" ca="1" si="99"/>
        <v>-2.802649896471217</v>
      </c>
      <c r="G1072" s="3">
        <f t="shared" ca="1" si="102"/>
        <v>1.7655743514903466</v>
      </c>
      <c r="H1072">
        <f t="shared" ca="1" si="100"/>
        <v>-1.5873870698820811</v>
      </c>
      <c r="I1072">
        <f t="shared" ca="1" si="101"/>
        <v>-2.0614082281296962</v>
      </c>
    </row>
    <row r="1073" spans="1:9" x14ac:dyDescent="0.3">
      <c r="A1073" s="1">
        <v>41736</v>
      </c>
      <c r="B1073" t="s">
        <v>0</v>
      </c>
      <c r="C1073">
        <v>536.67900380000003</v>
      </c>
      <c r="D1073" s="2">
        <f t="shared" si="97"/>
        <v>-9.1872840232820087E-3</v>
      </c>
      <c r="E1073" s="2">
        <f t="shared" ca="1" si="98"/>
        <v>1.1836928933286877</v>
      </c>
      <c r="F1073">
        <f t="shared" ca="1" si="99"/>
        <v>1.1946044910130809</v>
      </c>
      <c r="G1073" s="3">
        <f t="shared" ca="1" si="102"/>
        <v>1.7766662052611004</v>
      </c>
      <c r="H1073">
        <f t="shared" ca="1" si="100"/>
        <v>0.67238544160720426</v>
      </c>
      <c r="I1073">
        <f t="shared" ca="1" si="101"/>
        <v>-0.35568946755913583</v>
      </c>
    </row>
    <row r="1074" spans="1:9" x14ac:dyDescent="0.3">
      <c r="A1074" s="1">
        <v>41737</v>
      </c>
      <c r="B1074" t="s">
        <v>0</v>
      </c>
      <c r="C1074">
        <v>553.38318149999998</v>
      </c>
      <c r="D1074" s="2">
        <f t="shared" si="97"/>
        <v>3.1125081439230221E-2</v>
      </c>
      <c r="E1074" s="2">
        <f t="shared" ca="1" si="98"/>
        <v>0.87247193773159737</v>
      </c>
      <c r="F1074">
        <f t="shared" ca="1" si="99"/>
        <v>0.9042836987284687</v>
      </c>
      <c r="G1074" s="3">
        <f t="shared" ca="1" si="102"/>
        <v>1.7735644193842628</v>
      </c>
      <c r="H1074">
        <f t="shared" ca="1" si="100"/>
        <v>0.50986797482237123</v>
      </c>
      <c r="I1074">
        <f t="shared" ca="1" si="101"/>
        <v>0.20003957486159446</v>
      </c>
    </row>
    <row r="1075" spans="1:9" x14ac:dyDescent="0.3">
      <c r="A1075" s="1">
        <v>41738</v>
      </c>
      <c r="B1075" t="s">
        <v>0</v>
      </c>
      <c r="C1075">
        <v>562.59794429999999</v>
      </c>
      <c r="D1075" s="2">
        <f t="shared" si="97"/>
        <v>1.6651685681922043E-2</v>
      </c>
      <c r="E1075" s="2">
        <f t="shared" ca="1" si="98"/>
        <v>-0.37540067578039316</v>
      </c>
      <c r="F1075">
        <f t="shared" ca="1" si="99"/>
        <v>-0.37896020797792862</v>
      </c>
      <c r="G1075" s="3">
        <f t="shared" ca="1" si="102"/>
        <v>1.7691999953639292</v>
      </c>
      <c r="H1075">
        <f t="shared" ca="1" si="100"/>
        <v>-0.21419862591621558</v>
      </c>
      <c r="I1075">
        <f t="shared" ca="1" si="101"/>
        <v>1.9387173791252219</v>
      </c>
    </row>
    <row r="1076" spans="1:9" x14ac:dyDescent="0.3">
      <c r="A1076" s="1">
        <v>41739</v>
      </c>
      <c r="B1076" t="s">
        <v>0</v>
      </c>
      <c r="C1076">
        <v>539.47131449999995</v>
      </c>
      <c r="D1076" s="2">
        <f t="shared" si="97"/>
        <v>-4.1106850876916803E-2</v>
      </c>
      <c r="E1076" s="2">
        <f t="shared" ca="1" si="98"/>
        <v>-3.4841875679772651</v>
      </c>
      <c r="F1076">
        <f t="shared" ca="1" si="99"/>
        <v>-3.5085340106028959</v>
      </c>
      <c r="G1076" s="3">
        <f t="shared" ca="1" si="102"/>
        <v>1.7634332712296661</v>
      </c>
      <c r="H1076">
        <f t="shared" ca="1" si="100"/>
        <v>-1.9896040682936345</v>
      </c>
      <c r="I1076">
        <f t="shared" ca="1" si="101"/>
        <v>-2.5105338493150642</v>
      </c>
    </row>
    <row r="1077" spans="1:9" x14ac:dyDescent="0.3">
      <c r="A1077" s="1">
        <v>41740</v>
      </c>
      <c r="B1077" t="s">
        <v>0</v>
      </c>
      <c r="C1077">
        <v>529.14961170000004</v>
      </c>
      <c r="D1077" s="2">
        <f t="shared" si="97"/>
        <v>-1.9132996551570886E-2</v>
      </c>
      <c r="E1077" s="2">
        <f t="shared" ca="1" si="98"/>
        <v>-1.5470039642724589</v>
      </c>
      <c r="F1077">
        <f t="shared" ca="1" si="99"/>
        <v>-1.5451162716562041</v>
      </c>
      <c r="G1077" s="3">
        <f t="shared" ca="1" si="102"/>
        <v>1.7842884468239506</v>
      </c>
      <c r="H1077">
        <f t="shared" ca="1" si="100"/>
        <v>-0.86595655226402712</v>
      </c>
      <c r="I1077">
        <f t="shared" ca="1" si="101"/>
        <v>-0.8703516643390159</v>
      </c>
    </row>
    <row r="1078" spans="1:9" x14ac:dyDescent="0.3">
      <c r="A1078" s="1">
        <v>41743</v>
      </c>
      <c r="B1078" t="s">
        <v>0</v>
      </c>
      <c r="C1078">
        <v>531.06435480000005</v>
      </c>
      <c r="D1078" s="2">
        <f t="shared" si="97"/>
        <v>3.6185287821501192E-3</v>
      </c>
      <c r="E1078" s="2">
        <f t="shared" ca="1" si="98"/>
        <v>-2.1363156012668587</v>
      </c>
      <c r="F1078">
        <f t="shared" ca="1" si="99"/>
        <v>-2.105013702626445</v>
      </c>
      <c r="G1078" s="3">
        <f t="shared" ca="1" si="102"/>
        <v>1.7830916998933726</v>
      </c>
      <c r="H1078">
        <f t="shared" ca="1" si="100"/>
        <v>-1.1805414734151491</v>
      </c>
      <c r="I1078">
        <f t="shared" ca="1" si="101"/>
        <v>-1.4886469083265321</v>
      </c>
    </row>
    <row r="1079" spans="1:9" x14ac:dyDescent="0.3">
      <c r="A1079" s="1">
        <v>41744</v>
      </c>
      <c r="B1079" t="s">
        <v>0</v>
      </c>
      <c r="C1079">
        <v>534.97367380000003</v>
      </c>
      <c r="D1079" s="2">
        <f t="shared" si="97"/>
        <v>7.3612905190600488E-3</v>
      </c>
      <c r="E1079" s="2">
        <f t="shared" ca="1" si="98"/>
        <v>-1.4516613235533102</v>
      </c>
      <c r="F1079">
        <f t="shared" ca="1" si="99"/>
        <v>-1.4408261900118196</v>
      </c>
      <c r="G1079" s="3">
        <f t="shared" ca="1" si="102"/>
        <v>1.7862494383845964</v>
      </c>
      <c r="H1079">
        <f t="shared" ca="1" si="100"/>
        <v>-0.80662093381249034</v>
      </c>
      <c r="I1079">
        <f t="shared" ca="1" si="101"/>
        <v>-0.73045948690575391</v>
      </c>
    </row>
    <row r="1080" spans="1:9" x14ac:dyDescent="0.3">
      <c r="A1080" s="1">
        <v>41745</v>
      </c>
      <c r="B1080" t="s">
        <v>0</v>
      </c>
      <c r="C1080">
        <v>555.01868620000005</v>
      </c>
      <c r="D1080" s="2">
        <f t="shared" si="97"/>
        <v>3.7469156673855038E-2</v>
      </c>
      <c r="E1080" s="2">
        <f t="shared" ca="1" si="98"/>
        <v>2.4785741070207949</v>
      </c>
      <c r="F1080">
        <f t="shared" ca="1" si="99"/>
        <v>2.4741259786668732</v>
      </c>
      <c r="G1080" s="3">
        <f t="shared" ca="1" si="102"/>
        <v>1.7843556936108191</v>
      </c>
      <c r="H1080">
        <f t="shared" ca="1" si="100"/>
        <v>1.3865654631113578</v>
      </c>
      <c r="I1080">
        <f t="shared" ca="1" si="101"/>
        <v>-1.812003740329541</v>
      </c>
    </row>
    <row r="1081" spans="1:9" x14ac:dyDescent="0.3">
      <c r="A1081" s="1">
        <v>41746</v>
      </c>
      <c r="B1081" t="s">
        <v>0</v>
      </c>
      <c r="C1081">
        <v>534.63456080000003</v>
      </c>
      <c r="D1081" s="2">
        <f t="shared" si="97"/>
        <v>-3.672691732158119E-2</v>
      </c>
      <c r="E1081" s="2">
        <f t="shared" ca="1" si="98"/>
        <v>0.25664913506688181</v>
      </c>
      <c r="F1081">
        <f t="shared" ca="1" si="99"/>
        <v>0.24089327616271619</v>
      </c>
      <c r="G1081" s="3">
        <f t="shared" ca="1" si="102"/>
        <v>1.791044454310091</v>
      </c>
      <c r="H1081">
        <f t="shared" ca="1" si="100"/>
        <v>0.13449877002383401</v>
      </c>
      <c r="I1081">
        <f t="shared" ca="1" si="101"/>
        <v>2.8235580948093855</v>
      </c>
    </row>
    <row r="1082" spans="1:9" x14ac:dyDescent="0.3">
      <c r="A1082" s="1">
        <v>41750</v>
      </c>
      <c r="B1082" t="s">
        <v>0</v>
      </c>
      <c r="C1082">
        <v>527.17505489999996</v>
      </c>
      <c r="D1082" s="2">
        <f t="shared" si="97"/>
        <v>-1.3952532153622918E-2</v>
      </c>
      <c r="E1082" s="2">
        <f t="shared" ca="1" si="98"/>
        <v>1.0474471932422016</v>
      </c>
      <c r="F1082">
        <f t="shared" ca="1" si="99"/>
        <v>1.035065970598918</v>
      </c>
      <c r="G1082" s="3">
        <f t="shared" ca="1" si="102"/>
        <v>1.7848281663153795</v>
      </c>
      <c r="H1082">
        <f t="shared" ca="1" si="100"/>
        <v>0.57992471775908849</v>
      </c>
      <c r="I1082">
        <f t="shared" ca="1" si="101"/>
        <v>-6.9112035097597807E-2</v>
      </c>
    </row>
    <row r="1083" spans="1:9" x14ac:dyDescent="0.3">
      <c r="A1083" s="1">
        <v>41751</v>
      </c>
      <c r="B1083" t="s">
        <v>0</v>
      </c>
      <c r="C1083">
        <v>533.34811769999999</v>
      </c>
      <c r="D1083" s="2">
        <f t="shared" si="97"/>
        <v>1.1709702010029658E-2</v>
      </c>
      <c r="E1083" s="2">
        <f t="shared" ca="1" si="98"/>
        <v>-2.4118982510434814</v>
      </c>
      <c r="F1083">
        <f t="shared" ca="1" si="99"/>
        <v>-2.3848683580136893</v>
      </c>
      <c r="G1083" s="3">
        <f t="shared" ca="1" si="102"/>
        <v>1.7808346079680679</v>
      </c>
      <c r="H1083">
        <f t="shared" ca="1" si="100"/>
        <v>-1.3391857656758053</v>
      </c>
      <c r="I1083">
        <f t="shared" ca="1" si="101"/>
        <v>-1.7383119621244416</v>
      </c>
    </row>
    <row r="1084" spans="1:9" x14ac:dyDescent="0.3">
      <c r="A1084" s="1">
        <v>41752</v>
      </c>
      <c r="B1084" t="s">
        <v>0</v>
      </c>
      <c r="C1084">
        <v>525.49963179999997</v>
      </c>
      <c r="D1084" s="2">
        <f t="shared" si="97"/>
        <v>-1.4715503138636116E-2</v>
      </c>
      <c r="E1084" s="2">
        <f t="shared" ca="1" si="98"/>
        <v>0.67884975928371982</v>
      </c>
      <c r="F1084">
        <f t="shared" ca="1" si="99"/>
        <v>0.68404652652186093</v>
      </c>
      <c r="G1084" s="3">
        <f t="shared" ca="1" si="102"/>
        <v>1.7867217252270031</v>
      </c>
      <c r="H1084">
        <f t="shared" ca="1" si="100"/>
        <v>0.38285006381447162</v>
      </c>
      <c r="I1084">
        <f t="shared" ca="1" si="101"/>
        <v>0.7589959002322112</v>
      </c>
    </row>
    <row r="1085" spans="1:9" x14ac:dyDescent="0.3">
      <c r="A1085" s="1">
        <v>41753</v>
      </c>
      <c r="B1085" t="s">
        <v>0</v>
      </c>
      <c r="C1085">
        <v>523.72447739999996</v>
      </c>
      <c r="D1085" s="2">
        <f t="shared" si="97"/>
        <v>-3.3780316722954924E-3</v>
      </c>
      <c r="E1085" s="2">
        <f t="shared" ca="1" si="98"/>
        <v>-3.5356115082538366</v>
      </c>
      <c r="F1085">
        <f t="shared" ca="1" si="99"/>
        <v>-3.5385154465502886</v>
      </c>
      <c r="G1085" s="3">
        <f t="shared" ca="1" si="102"/>
        <v>1.7814237811883402</v>
      </c>
      <c r="H1085">
        <f t="shared" ca="1" si="100"/>
        <v>-1.9863411973707006</v>
      </c>
      <c r="I1085">
        <f t="shared" ca="1" si="101"/>
        <v>-2.5274154589624049</v>
      </c>
    </row>
    <row r="1086" spans="1:9" x14ac:dyDescent="0.3">
      <c r="A1086" s="1">
        <v>41754</v>
      </c>
      <c r="B1086" t="s">
        <v>0</v>
      </c>
      <c r="C1086">
        <v>514.76905360000001</v>
      </c>
      <c r="D1086" s="2">
        <f t="shared" si="97"/>
        <v>-1.7099494460252527E-2</v>
      </c>
      <c r="E1086" s="2">
        <f t="shared" ca="1" si="98"/>
        <v>0.8752459195381358</v>
      </c>
      <c r="F1086">
        <f t="shared" ca="1" si="99"/>
        <v>0.88541642704952783</v>
      </c>
      <c r="G1086" s="3">
        <f t="shared" ca="1" si="102"/>
        <v>1.801713708814054</v>
      </c>
      <c r="H1086">
        <f t="shared" ca="1" si="100"/>
        <v>0.49143014382253741</v>
      </c>
      <c r="I1086">
        <f t="shared" ca="1" si="101"/>
        <v>0.24302144336279424</v>
      </c>
    </row>
    <row r="1087" spans="1:9" x14ac:dyDescent="0.3">
      <c r="A1087" s="1">
        <v>41757</v>
      </c>
      <c r="B1087" t="s">
        <v>0</v>
      </c>
      <c r="C1087">
        <v>515.73640469999998</v>
      </c>
      <c r="D1087" s="2">
        <f t="shared" si="97"/>
        <v>1.879194355672459E-3</v>
      </c>
      <c r="E1087" s="2">
        <f t="shared" ca="1" si="98"/>
        <v>0.53043521799934279</v>
      </c>
      <c r="F1087">
        <f t="shared" ca="1" si="99"/>
        <v>0.53763718546553152</v>
      </c>
      <c r="G1087" s="3">
        <f t="shared" ca="1" si="102"/>
        <v>1.7968661226530003</v>
      </c>
      <c r="H1087">
        <f t="shared" ca="1" si="100"/>
        <v>0.29920825969590431</v>
      </c>
      <c r="I1087">
        <f t="shared" ca="1" si="101"/>
        <v>1.2411304285387335</v>
      </c>
    </row>
    <row r="1088" spans="1:9" x14ac:dyDescent="0.3">
      <c r="A1088" s="1">
        <v>41758</v>
      </c>
      <c r="B1088" t="s">
        <v>0</v>
      </c>
      <c r="C1088">
        <v>526.25756980000006</v>
      </c>
      <c r="D1088" s="2">
        <f t="shared" si="97"/>
        <v>2.0400276195589023E-2</v>
      </c>
      <c r="E1088" s="2">
        <f t="shared" ca="1" si="98"/>
        <v>2.0307936047401851</v>
      </c>
      <c r="F1088">
        <f t="shared" ca="1" si="99"/>
        <v>2.0408810926601721</v>
      </c>
      <c r="G1088" s="3">
        <f t="shared" ca="1" si="102"/>
        <v>1.7910603009363937</v>
      </c>
      <c r="H1088">
        <f t="shared" ca="1" si="100"/>
        <v>1.1394820663453755</v>
      </c>
      <c r="I1088">
        <f t="shared" ca="1" si="101"/>
        <v>-1.4268631619345624</v>
      </c>
    </row>
    <row r="1089" spans="1:9" x14ac:dyDescent="0.3">
      <c r="A1089" s="1">
        <v>41759</v>
      </c>
      <c r="B1089" t="s">
        <v>0</v>
      </c>
      <c r="C1089">
        <v>525.22039540000003</v>
      </c>
      <c r="D1089" s="2">
        <f t="shared" si="97"/>
        <v>-1.9708493701937552E-3</v>
      </c>
      <c r="E1089" s="2">
        <f t="shared" ca="1" si="98"/>
        <v>-1.1488238102728066</v>
      </c>
      <c r="F1089">
        <f t="shared" ca="1" si="99"/>
        <v>-1.1560766357318337</v>
      </c>
      <c r="G1089" s="3">
        <f t="shared" ca="1" si="102"/>
        <v>1.7934444248706314</v>
      </c>
      <c r="H1089">
        <f t="shared" ca="1" si="100"/>
        <v>-0.64461246732818411</v>
      </c>
      <c r="I1089">
        <f t="shared" ca="1" si="101"/>
        <v>-0.29006703013135582</v>
      </c>
    </row>
    <row r="1090" spans="1:9" x14ac:dyDescent="0.3">
      <c r="A1090" s="1">
        <v>41760</v>
      </c>
      <c r="B1090" t="s">
        <v>0</v>
      </c>
      <c r="C1090">
        <v>529.89760109999997</v>
      </c>
      <c r="D1090" s="2">
        <f t="shared" si="97"/>
        <v>8.9052248179316319E-3</v>
      </c>
      <c r="E1090" s="2">
        <f t="shared" ca="1" si="98"/>
        <v>-1.3349773610031654</v>
      </c>
      <c r="F1090">
        <f t="shared" ca="1" si="99"/>
        <v>-1.3470929064518302</v>
      </c>
      <c r="G1090" s="3">
        <f t="shared" ca="1" si="102"/>
        <v>1.7898703690300313</v>
      </c>
      <c r="H1090">
        <f t="shared" ca="1" si="100"/>
        <v>-0.75262037394464965</v>
      </c>
      <c r="I1090">
        <f t="shared" ca="1" si="101"/>
        <v>-0.59594143716570924</v>
      </c>
    </row>
    <row r="1091" spans="1:9" x14ac:dyDescent="0.3">
      <c r="A1091" s="1">
        <v>41761</v>
      </c>
      <c r="B1091" t="s">
        <v>0</v>
      </c>
      <c r="C1091">
        <v>526.48694109999997</v>
      </c>
      <c r="D1091" s="2">
        <f t="shared" si="97"/>
        <v>-6.4364511047415784E-3</v>
      </c>
      <c r="E1091" s="2">
        <f t="shared" ca="1" si="98"/>
        <v>0.48082020935782038</v>
      </c>
      <c r="F1091">
        <f t="shared" ca="1" si="99"/>
        <v>0.47939222047120872</v>
      </c>
      <c r="G1091" s="3">
        <f t="shared" ca="1" si="102"/>
        <v>1.7873590147680984</v>
      </c>
      <c r="H1091">
        <f t="shared" ca="1" si="100"/>
        <v>0.26821260670644148</v>
      </c>
      <c r="I1091">
        <f t="shared" ca="1" si="101"/>
        <v>1.4702921046771555</v>
      </c>
    </row>
    <row r="1092" spans="1:9" x14ac:dyDescent="0.3">
      <c r="A1092" s="1">
        <v>41764</v>
      </c>
      <c r="B1092" t="s">
        <v>0</v>
      </c>
      <c r="C1092">
        <v>526.3672507</v>
      </c>
      <c r="D1092" s="2">
        <f t="shared" ref="D1092:D1155" si="103">(C1092-C1091)/C1091</f>
        <v>-2.2733783244442124E-4</v>
      </c>
      <c r="E1092" s="2">
        <f t="shared" ca="1" si="98"/>
        <v>1.3631783620245432</v>
      </c>
      <c r="F1092">
        <f t="shared" ca="1" si="99"/>
        <v>1.359552235217319</v>
      </c>
      <c r="G1092" s="3">
        <f t="shared" ca="1" si="102"/>
        <v>1.7815497619247052</v>
      </c>
      <c r="H1092">
        <f t="shared" ca="1" si="100"/>
        <v>0.76312897022226356</v>
      </c>
      <c r="I1092">
        <f t="shared" ca="1" si="101"/>
        <v>-0.61431084141326997</v>
      </c>
    </row>
    <row r="1093" spans="1:9" x14ac:dyDescent="0.3">
      <c r="A1093" s="1">
        <v>41765</v>
      </c>
      <c r="B1093" t="s">
        <v>0</v>
      </c>
      <c r="C1093">
        <v>513.73187910000001</v>
      </c>
      <c r="D1093" s="2">
        <f t="shared" si="103"/>
        <v>-2.4004858932991337E-2</v>
      </c>
      <c r="E1093" s="2">
        <f t="shared" ca="1" si="98"/>
        <v>-1.7155967969152306</v>
      </c>
      <c r="F1093">
        <f t="shared" ca="1" si="99"/>
        <v>-1.711521055782357</v>
      </c>
      <c r="G1093" s="3">
        <f t="shared" ca="1" si="102"/>
        <v>1.7792619307980022</v>
      </c>
      <c r="H1093">
        <f t="shared" ca="1" si="100"/>
        <v>-0.96192754206500486</v>
      </c>
      <c r="I1093">
        <f t="shared" ca="1" si="101"/>
        <v>-1.0749616762325733</v>
      </c>
    </row>
    <row r="1094" spans="1:9" x14ac:dyDescent="0.3">
      <c r="A1094" s="1">
        <v>41766</v>
      </c>
      <c r="B1094" t="s">
        <v>0</v>
      </c>
      <c r="C1094">
        <v>508.56605289999999</v>
      </c>
      <c r="D1094" s="2">
        <f t="shared" si="103"/>
        <v>-1.0055490831228866E-2</v>
      </c>
      <c r="E1094" s="2">
        <f t="shared" ref="E1094:E1157" ca="1" si="104">$N$9*D1093+$N$10*D1092+F1094</f>
        <v>-1.6162183476542089</v>
      </c>
      <c r="F1094">
        <f t="shared" ref="F1094:F1157" ca="1" si="105">G1094*H1094</f>
        <v>-1.6089193657973595</v>
      </c>
      <c r="G1094" s="3">
        <f t="shared" ca="1" si="102"/>
        <v>1.7793241073611181</v>
      </c>
      <c r="H1094">
        <f t="shared" ref="H1094:H1157" ca="1" si="106">_xlfn.NORM.S.INV(RAND())</f>
        <v>-0.90423063405998438</v>
      </c>
      <c r="I1094">
        <f t="shared" ref="I1094:I1157" ca="1" si="107">-LN(F1094^2)-(D1094^2)/(F1094^2)</f>
        <v>-0.95116456506086577</v>
      </c>
    </row>
    <row r="1095" spans="1:9" x14ac:dyDescent="0.3">
      <c r="A1095" s="1">
        <v>41767</v>
      </c>
      <c r="B1095" t="s">
        <v>0</v>
      </c>
      <c r="C1095">
        <v>509.6031974</v>
      </c>
      <c r="D1095" s="2">
        <f t="shared" si="103"/>
        <v>2.039350629256306E-3</v>
      </c>
      <c r="E1095" s="2">
        <f t="shared" ca="1" si="104"/>
        <v>0.5027819580655446</v>
      </c>
      <c r="F1095">
        <f t="shared" ca="1" si="105"/>
        <v>0.52072790430589366</v>
      </c>
      <c r="G1095" s="3">
        <f t="shared" ref="G1095:G1158" ca="1" si="108">SQRT($N$6+$N$7*(H1094^2)+$N$8*(G1094^2))</f>
        <v>1.7786579333104726</v>
      </c>
      <c r="H1095">
        <f t="shared" ca="1" si="106"/>
        <v>0.29276450213038141</v>
      </c>
      <c r="I1095">
        <f t="shared" ca="1" si="107"/>
        <v>1.3050399227598934</v>
      </c>
    </row>
    <row r="1096" spans="1:9" x14ac:dyDescent="0.3">
      <c r="A1096" s="1">
        <v>41768</v>
      </c>
      <c r="B1096" t="s">
        <v>0</v>
      </c>
      <c r="C1096">
        <v>517.31209460000002</v>
      </c>
      <c r="D1096" s="2">
        <f t="shared" si="103"/>
        <v>1.5127254380135144E-2</v>
      </c>
      <c r="E1096" s="2">
        <f t="shared" ca="1" si="104"/>
        <v>1.1742433005433854</v>
      </c>
      <c r="F1096">
        <f t="shared" ca="1" si="105"/>
        <v>1.1798967575990371</v>
      </c>
      <c r="G1096" s="3">
        <f t="shared" ca="1" si="108"/>
        <v>1.773047306337235</v>
      </c>
      <c r="H1096">
        <f t="shared" ca="1" si="106"/>
        <v>0.66546264918135234</v>
      </c>
      <c r="I1096">
        <f t="shared" ca="1" si="107"/>
        <v>-0.33101825583149108</v>
      </c>
    </row>
    <row r="1097" spans="1:9" x14ac:dyDescent="0.3">
      <c r="A1097" s="1">
        <v>41771</v>
      </c>
      <c r="B1097" t="s">
        <v>0</v>
      </c>
      <c r="C1097">
        <v>528.47150850000003</v>
      </c>
      <c r="D1097" s="2">
        <f t="shared" si="103"/>
        <v>2.1571917642151342E-2</v>
      </c>
      <c r="E1097" s="2">
        <f t="shared" ca="1" si="104"/>
        <v>-0.69526378849567527</v>
      </c>
      <c r="F1097">
        <f t="shared" ca="1" si="105"/>
        <v>-0.7010441098646969</v>
      </c>
      <c r="G1097" s="3">
        <f t="shared" ca="1" si="108"/>
        <v>1.7699317650416995</v>
      </c>
      <c r="H1097">
        <f t="shared" ca="1" si="106"/>
        <v>-0.39608538798566639</v>
      </c>
      <c r="I1097">
        <f t="shared" ca="1" si="107"/>
        <v>0.70942207716934869</v>
      </c>
    </row>
    <row r="1098" spans="1:9" x14ac:dyDescent="0.3">
      <c r="A1098" s="1">
        <v>41772</v>
      </c>
      <c r="B1098" t="s">
        <v>0</v>
      </c>
      <c r="C1098">
        <v>531.63283899999999</v>
      </c>
      <c r="D1098" s="2">
        <f t="shared" si="103"/>
        <v>5.9820263706798537E-3</v>
      </c>
      <c r="E1098" s="2">
        <f t="shared" ca="1" si="104"/>
        <v>9.4143454856812137E-2</v>
      </c>
      <c r="F1098">
        <f t="shared" ca="1" si="105"/>
        <v>7.8291763181370558E-2</v>
      </c>
      <c r="G1098" s="3">
        <f t="shared" ca="1" si="108"/>
        <v>1.7649122702797804</v>
      </c>
      <c r="H1098">
        <f t="shared" ca="1" si="106"/>
        <v>4.4360144410441123E-2</v>
      </c>
      <c r="I1098">
        <f t="shared" ca="1" si="107"/>
        <v>5.0887877488305167</v>
      </c>
    </row>
    <row r="1099" spans="1:9" x14ac:dyDescent="0.3">
      <c r="A1099" s="1">
        <v>41773</v>
      </c>
      <c r="B1099" t="s">
        <v>0</v>
      </c>
      <c r="C1099">
        <v>525.21044670000003</v>
      </c>
      <c r="D1099" s="2">
        <f t="shared" si="103"/>
        <v>-1.2080503364089508E-2</v>
      </c>
      <c r="E1099" s="2">
        <f t="shared" ca="1" si="104"/>
        <v>-1.0814328623898077</v>
      </c>
      <c r="F1099">
        <f t="shared" ca="1" si="105"/>
        <v>-1.096649257797141</v>
      </c>
      <c r="G1099" s="3">
        <f t="shared" ca="1" si="108"/>
        <v>1.75889729809611</v>
      </c>
      <c r="H1099">
        <f t="shared" ca="1" si="106"/>
        <v>-0.62348680561633207</v>
      </c>
      <c r="I1099">
        <f t="shared" ca="1" si="107"/>
        <v>-0.18464015181026244</v>
      </c>
    </row>
    <row r="1100" spans="1:9" x14ac:dyDescent="0.3">
      <c r="A1100" s="1">
        <v>41774</v>
      </c>
      <c r="B1100" t="s">
        <v>0</v>
      </c>
      <c r="C1100">
        <v>518.55862130000003</v>
      </c>
      <c r="D1100" s="2">
        <f t="shared" si="103"/>
        <v>-1.2665066816158603E-2</v>
      </c>
      <c r="E1100" s="2">
        <f t="shared" ca="1" si="104"/>
        <v>0.25379898531311246</v>
      </c>
      <c r="F1100">
        <f t="shared" ca="1" si="105"/>
        <v>0.25367598585419726</v>
      </c>
      <c r="G1100" s="3">
        <f t="shared" ca="1" si="108"/>
        <v>1.7556038554528892</v>
      </c>
      <c r="H1100">
        <f t="shared" ca="1" si="106"/>
        <v>0.14449500385083003</v>
      </c>
      <c r="I1100">
        <f t="shared" ca="1" si="107"/>
        <v>2.7409023240300954</v>
      </c>
    </row>
    <row r="1101" spans="1:9" x14ac:dyDescent="0.3">
      <c r="A1101" s="1">
        <v>41775</v>
      </c>
      <c r="B1101" t="s">
        <v>0</v>
      </c>
      <c r="C1101">
        <v>519.20687950000001</v>
      </c>
      <c r="D1101" s="2">
        <f t="shared" si="103"/>
        <v>1.2501155575715553E-3</v>
      </c>
      <c r="E1101" s="2">
        <f t="shared" ca="1" si="104"/>
        <v>-0.25056445672261712</v>
      </c>
      <c r="F1101">
        <f t="shared" ca="1" si="105"/>
        <v>-0.23926568194414652</v>
      </c>
      <c r="G1101" s="3">
        <f t="shared" ca="1" si="108"/>
        <v>1.7498299391116807</v>
      </c>
      <c r="H1101">
        <f t="shared" ca="1" si="106"/>
        <v>-0.13673653456038831</v>
      </c>
      <c r="I1101">
        <f t="shared" ca="1" si="107"/>
        <v>2.8603341105174622</v>
      </c>
    </row>
    <row r="1102" spans="1:9" x14ac:dyDescent="0.3">
      <c r="A1102" s="1">
        <v>41778</v>
      </c>
      <c r="B1102" t="s">
        <v>0</v>
      </c>
      <c r="C1102">
        <v>527.41437480000002</v>
      </c>
      <c r="D1102" s="2">
        <f t="shared" si="103"/>
        <v>1.5807755297664549E-2</v>
      </c>
      <c r="E1102" s="2">
        <f t="shared" ca="1" si="104"/>
        <v>0.24070689603787435</v>
      </c>
      <c r="F1102">
        <f t="shared" ca="1" si="105"/>
        <v>0.24822065006462396</v>
      </c>
      <c r="G1102" s="3">
        <f t="shared" ca="1" si="108"/>
        <v>1.7441105762730347</v>
      </c>
      <c r="H1102">
        <f t="shared" ca="1" si="106"/>
        <v>0.14231933080472636</v>
      </c>
      <c r="I1102">
        <f t="shared" ca="1" si="107"/>
        <v>2.7828187322553148</v>
      </c>
    </row>
    <row r="1103" spans="1:9" x14ac:dyDescent="0.3">
      <c r="A1103" s="1">
        <v>41779</v>
      </c>
      <c r="B1103" t="s">
        <v>0</v>
      </c>
      <c r="C1103">
        <v>528.32191020000005</v>
      </c>
      <c r="D1103" s="2">
        <f t="shared" si="103"/>
        <v>1.7207255686653856E-3</v>
      </c>
      <c r="E1103" s="2">
        <f t="shared" ca="1" si="104"/>
        <v>1.1195491349420301</v>
      </c>
      <c r="F1103">
        <f t="shared" ca="1" si="105"/>
        <v>1.1140573657899888</v>
      </c>
      <c r="G1103" s="3">
        <f t="shared" ca="1" si="108"/>
        <v>1.7384710303125805</v>
      </c>
      <c r="H1103">
        <f t="shared" ca="1" si="106"/>
        <v>0.6408259593429515</v>
      </c>
      <c r="I1103">
        <f t="shared" ca="1" si="107"/>
        <v>-0.21601965666242492</v>
      </c>
    </row>
    <row r="1104" spans="1:9" x14ac:dyDescent="0.3">
      <c r="A1104" s="1">
        <v>41780</v>
      </c>
      <c r="B1104" t="s">
        <v>0</v>
      </c>
      <c r="C1104">
        <v>537.46684979999998</v>
      </c>
      <c r="D1104" s="2">
        <f t="shared" si="103"/>
        <v>1.7309408191187921E-2</v>
      </c>
      <c r="E1104" s="2">
        <f t="shared" ca="1" si="104"/>
        <v>1.6863842440680543</v>
      </c>
      <c r="F1104">
        <f t="shared" ca="1" si="105"/>
        <v>1.6760277461486972</v>
      </c>
      <c r="G1104" s="3">
        <f t="shared" ca="1" si="108"/>
        <v>1.7356052986725983</v>
      </c>
      <c r="H1104">
        <f t="shared" ca="1" si="106"/>
        <v>0.96567332874043055</v>
      </c>
      <c r="I1104">
        <f t="shared" ca="1" si="107"/>
        <v>-1.032959773919349</v>
      </c>
    </row>
    <row r="1105" spans="1:9" x14ac:dyDescent="0.3">
      <c r="A1105" s="1">
        <v>41781</v>
      </c>
      <c r="B1105" t="s">
        <v>0</v>
      </c>
      <c r="C1105">
        <v>543.57008729999995</v>
      </c>
      <c r="D1105" s="2">
        <f t="shared" si="103"/>
        <v>1.1355560816952878E-2</v>
      </c>
      <c r="E1105" s="2">
        <f t="shared" ca="1" si="104"/>
        <v>0.53555374836698244</v>
      </c>
      <c r="F1105">
        <f t="shared" ca="1" si="105"/>
        <v>0.52932119091855823</v>
      </c>
      <c r="G1105" s="3">
        <f t="shared" ca="1" si="108"/>
        <v>1.7363946431906545</v>
      </c>
      <c r="H1105">
        <f t="shared" ca="1" si="106"/>
        <v>0.30483922131084301</v>
      </c>
      <c r="I1105">
        <f t="shared" ca="1" si="107"/>
        <v>1.2718594964450922</v>
      </c>
    </row>
    <row r="1106" spans="1:9" x14ac:dyDescent="0.3">
      <c r="A1106" s="1">
        <v>41782</v>
      </c>
      <c r="B1106" t="s">
        <v>0</v>
      </c>
      <c r="C1106">
        <v>551.18920200000002</v>
      </c>
      <c r="D1106" s="2">
        <f t="shared" si="103"/>
        <v>1.4016802760147154E-2</v>
      </c>
      <c r="E1106" s="2">
        <f t="shared" ca="1" si="104"/>
        <v>0.21277557158387661</v>
      </c>
      <c r="F1106">
        <f t="shared" ca="1" si="105"/>
        <v>0.19861122447009014</v>
      </c>
      <c r="G1106" s="3">
        <f t="shared" ca="1" si="108"/>
        <v>1.7313530983476639</v>
      </c>
      <c r="H1106">
        <f t="shared" ca="1" si="106"/>
        <v>0.11471445348706567</v>
      </c>
      <c r="I1106">
        <f t="shared" ca="1" si="107"/>
        <v>3.2278313224130102</v>
      </c>
    </row>
    <row r="1107" spans="1:9" x14ac:dyDescent="0.3">
      <c r="A1107" s="1">
        <v>41786</v>
      </c>
      <c r="B1107" t="s">
        <v>0</v>
      </c>
      <c r="C1107">
        <v>564.40300649999995</v>
      </c>
      <c r="D1107" s="2">
        <f t="shared" si="103"/>
        <v>2.3973264447223194E-2</v>
      </c>
      <c r="E1107" s="2">
        <f t="shared" ca="1" si="104"/>
        <v>-1.675243465629765</v>
      </c>
      <c r="F1107">
        <f t="shared" ca="1" si="105"/>
        <v>-1.6864938620213621</v>
      </c>
      <c r="G1107" s="3">
        <f t="shared" ca="1" si="108"/>
        <v>1.7258188282126692</v>
      </c>
      <c r="H1107">
        <f t="shared" ca="1" si="106"/>
        <v>-0.97721373440337667</v>
      </c>
      <c r="I1107">
        <f t="shared" ca="1" si="107"/>
        <v>-1.0455055341525208</v>
      </c>
    </row>
    <row r="1108" spans="1:9" x14ac:dyDescent="0.3">
      <c r="A1108" s="1">
        <v>41787</v>
      </c>
      <c r="B1108" t="s">
        <v>0</v>
      </c>
      <c r="C1108">
        <v>560.14468680000004</v>
      </c>
      <c r="D1108" s="2">
        <f t="shared" si="103"/>
        <v>-7.5448210781278013E-3</v>
      </c>
      <c r="E1108" s="2">
        <f t="shared" ca="1" si="104"/>
        <v>0.87112570152575008</v>
      </c>
      <c r="F1108">
        <f t="shared" ca="1" si="105"/>
        <v>0.85524948577897375</v>
      </c>
      <c r="G1108" s="3">
        <f t="shared" ca="1" si="108"/>
        <v>1.7269186554186866</v>
      </c>
      <c r="H1108">
        <f t="shared" ca="1" si="106"/>
        <v>0.49524595909331981</v>
      </c>
      <c r="I1108">
        <f t="shared" ca="1" si="107"/>
        <v>0.31264628898713165</v>
      </c>
    </row>
    <row r="1109" spans="1:9" x14ac:dyDescent="0.3">
      <c r="A1109" s="1">
        <v>41788</v>
      </c>
      <c r="B1109" t="s">
        <v>0</v>
      </c>
      <c r="C1109">
        <v>558.54903760000002</v>
      </c>
      <c r="D1109" s="2">
        <f t="shared" si="103"/>
        <v>-2.8486375709741449E-3</v>
      </c>
      <c r="E1109" s="2">
        <f t="shared" ca="1" si="104"/>
        <v>-0.65386279181871743</v>
      </c>
      <c r="F1109">
        <f t="shared" ca="1" si="105"/>
        <v>-0.66654125952267673</v>
      </c>
      <c r="G1109" s="3">
        <f t="shared" ca="1" si="108"/>
        <v>1.7230579766879235</v>
      </c>
      <c r="H1109">
        <f t="shared" ca="1" si="106"/>
        <v>-0.38683623449740673</v>
      </c>
      <c r="I1109">
        <f t="shared" ca="1" si="107"/>
        <v>0.81128820801130563</v>
      </c>
    </row>
    <row r="1110" spans="1:9" x14ac:dyDescent="0.3">
      <c r="A1110" s="1">
        <v>41789</v>
      </c>
      <c r="B1110" t="s">
        <v>0</v>
      </c>
      <c r="C1110">
        <v>558.3595828</v>
      </c>
      <c r="D1110" s="2">
        <f t="shared" si="103"/>
        <v>-3.3919098816118229E-4</v>
      </c>
      <c r="E1110" s="2">
        <f t="shared" ca="1" si="104"/>
        <v>-1.8342592863294815</v>
      </c>
      <c r="F1110">
        <f t="shared" ca="1" si="105"/>
        <v>-1.8287117858829605</v>
      </c>
      <c r="G1110" s="3">
        <f t="shared" ca="1" si="108"/>
        <v>1.7185792313211434</v>
      </c>
      <c r="H1110">
        <f t="shared" ca="1" si="106"/>
        <v>-1.0640834897540066</v>
      </c>
      <c r="I1110">
        <f t="shared" ca="1" si="107"/>
        <v>-1.2072235880616697</v>
      </c>
    </row>
    <row r="1111" spans="1:9" x14ac:dyDescent="0.3">
      <c r="A1111" s="1">
        <v>41792</v>
      </c>
      <c r="B1111" t="s">
        <v>0</v>
      </c>
      <c r="C1111">
        <v>552.41583030000004</v>
      </c>
      <c r="D1111" s="2">
        <f t="shared" si="103"/>
        <v>-1.0645026400718127E-2</v>
      </c>
      <c r="E1111" s="2">
        <f t="shared" ca="1" si="104"/>
        <v>0.16212671418147123</v>
      </c>
      <c r="F1111">
        <f t="shared" ca="1" si="105"/>
        <v>0.16400168642031385</v>
      </c>
      <c r="G1111" s="3">
        <f t="shared" ca="1" si="108"/>
        <v>1.7210333005704932</v>
      </c>
      <c r="H1111">
        <f t="shared" ca="1" si="106"/>
        <v>9.5292570089114542E-2</v>
      </c>
      <c r="I1111">
        <f t="shared" ca="1" si="107"/>
        <v>3.6115440839471065</v>
      </c>
    </row>
    <row r="1112" spans="1:9" x14ac:dyDescent="0.3">
      <c r="A1112" s="1">
        <v>41793</v>
      </c>
      <c r="B1112" t="s">
        <v>0</v>
      </c>
      <c r="C1112">
        <v>543.45039689999999</v>
      </c>
      <c r="D1112" s="2">
        <f t="shared" si="103"/>
        <v>-1.6229501234841879E-2</v>
      </c>
      <c r="E1112" s="2">
        <f t="shared" ca="1" si="104"/>
        <v>0.37726327277890076</v>
      </c>
      <c r="F1112">
        <f t="shared" ca="1" si="105"/>
        <v>0.38064846487365883</v>
      </c>
      <c r="G1112" s="3">
        <f t="shared" ca="1" si="108"/>
        <v>1.7155959053228709</v>
      </c>
      <c r="H1112">
        <f t="shared" ca="1" si="106"/>
        <v>0.22187536336071037</v>
      </c>
      <c r="I1112">
        <f t="shared" ca="1" si="107"/>
        <v>1.9299401209761768</v>
      </c>
    </row>
    <row r="1113" spans="1:9" x14ac:dyDescent="0.3">
      <c r="A1113" s="1">
        <v>41794</v>
      </c>
      <c r="B1113" t="s">
        <v>0</v>
      </c>
      <c r="C1113">
        <v>543.17115960000001</v>
      </c>
      <c r="D1113" s="2">
        <f t="shared" si="103"/>
        <v>-5.1382297555182274E-4</v>
      </c>
      <c r="E1113" s="2">
        <f t="shared" ca="1" si="104"/>
        <v>0.68309139627197191</v>
      </c>
      <c r="F1113">
        <f t="shared" ca="1" si="105"/>
        <v>0.69455909544450134</v>
      </c>
      <c r="G1113" s="3">
        <f t="shared" ca="1" si="108"/>
        <v>1.7105068557135339</v>
      </c>
      <c r="H1113">
        <f t="shared" ca="1" si="106"/>
        <v>0.4060545522658941</v>
      </c>
      <c r="I1113">
        <f t="shared" ca="1" si="107"/>
        <v>0.72895551227100863</v>
      </c>
    </row>
    <row r="1114" spans="1:9" x14ac:dyDescent="0.3">
      <c r="A1114" s="1">
        <v>41795</v>
      </c>
      <c r="B1114" t="s">
        <v>0</v>
      </c>
      <c r="C1114">
        <v>552.38592340000002</v>
      </c>
      <c r="D1114" s="2">
        <f t="shared" si="103"/>
        <v>1.6964751602028934E-2</v>
      </c>
      <c r="E1114" s="2">
        <f t="shared" ca="1" si="104"/>
        <v>-4.0558722604945645</v>
      </c>
      <c r="F1114">
        <f t="shared" ca="1" si="105"/>
        <v>-4.0456129994162415</v>
      </c>
      <c r="G1114" s="3">
        <f t="shared" ca="1" si="108"/>
        <v>1.7062955694167041</v>
      </c>
      <c r="H1114">
        <f t="shared" ca="1" si="106"/>
        <v>-2.3709919148411265</v>
      </c>
      <c r="I1114">
        <f t="shared" ca="1" si="107"/>
        <v>-2.7952837523543286</v>
      </c>
    </row>
    <row r="1115" spans="1:9" x14ac:dyDescent="0.3">
      <c r="A1115" s="1">
        <v>41796</v>
      </c>
      <c r="B1115" t="s">
        <v>0</v>
      </c>
      <c r="C1115">
        <v>554.80927410000004</v>
      </c>
      <c r="D1115" s="2">
        <f t="shared" si="103"/>
        <v>4.3870609248765919E-3</v>
      </c>
      <c r="E1115" s="2">
        <f t="shared" ca="1" si="104"/>
        <v>-0.89895614931444867</v>
      </c>
      <c r="F1115">
        <f t="shared" ca="1" si="105"/>
        <v>-0.9036944960797636</v>
      </c>
      <c r="G1115" s="3">
        <f t="shared" ca="1" si="108"/>
        <v>1.7402411514509071</v>
      </c>
      <c r="H1115">
        <f t="shared" ca="1" si="106"/>
        <v>-0.5192926826987847</v>
      </c>
      <c r="I1115">
        <f t="shared" ca="1" si="107"/>
        <v>0.20250427805584126</v>
      </c>
    </row>
    <row r="1116" spans="1:9" x14ac:dyDescent="0.3">
      <c r="A1116" s="1">
        <v>41799</v>
      </c>
      <c r="B1116" t="s">
        <v>0</v>
      </c>
      <c r="C1116">
        <v>560.5834701</v>
      </c>
      <c r="D1116" s="2">
        <f t="shared" si="103"/>
        <v>1.040753330839096E-2</v>
      </c>
      <c r="E1116" s="2">
        <f t="shared" ca="1" si="104"/>
        <v>-0.60591387968000965</v>
      </c>
      <c r="F1116">
        <f t="shared" ca="1" si="105"/>
        <v>-0.61778584443352313</v>
      </c>
      <c r="G1116" s="3">
        <f t="shared" ca="1" si="108"/>
        <v>1.7363756202263463</v>
      </c>
      <c r="H1116">
        <f t="shared" ca="1" si="106"/>
        <v>-0.35579043914069197</v>
      </c>
      <c r="I1116">
        <f t="shared" ca="1" si="107"/>
        <v>0.96294301846062358</v>
      </c>
    </row>
    <row r="1117" spans="1:9" x14ac:dyDescent="0.3">
      <c r="A1117" s="1">
        <v>41800</v>
      </c>
      <c r="B1117" t="s">
        <v>0</v>
      </c>
      <c r="C1117">
        <v>559.01772779999999</v>
      </c>
      <c r="D1117" s="2">
        <f t="shared" si="103"/>
        <v>-2.7930582750160383E-3</v>
      </c>
      <c r="E1117" s="2">
        <f t="shared" ca="1" si="104"/>
        <v>-4.9447285637300613</v>
      </c>
      <c r="F1117">
        <f t="shared" ca="1" si="105"/>
        <v>-4.9505635388346763</v>
      </c>
      <c r="G1117" s="3">
        <f t="shared" ca="1" si="108"/>
        <v>1.7315679556977264</v>
      </c>
      <c r="H1117">
        <f t="shared" ca="1" si="106"/>
        <v>-2.8590062102644258</v>
      </c>
      <c r="I1117">
        <f t="shared" ca="1" si="107"/>
        <v>-3.1990031509699901</v>
      </c>
    </row>
    <row r="1118" spans="1:9" x14ac:dyDescent="0.3">
      <c r="A1118" s="1">
        <v>41801</v>
      </c>
      <c r="B1118" t="s">
        <v>0</v>
      </c>
      <c r="C1118">
        <v>557.31239779999999</v>
      </c>
      <c r="D1118" s="2">
        <f t="shared" si="103"/>
        <v>-3.050583040919447E-3</v>
      </c>
      <c r="E1118" s="2">
        <f t="shared" ca="1" si="104"/>
        <v>2.2437741076759616</v>
      </c>
      <c r="F1118">
        <f t="shared" ca="1" si="105"/>
        <v>2.2381261645045778</v>
      </c>
      <c r="G1118" s="3">
        <f t="shared" ca="1" si="108"/>
        <v>1.7819495888660546</v>
      </c>
      <c r="H1118">
        <f t="shared" ca="1" si="106"/>
        <v>1.2559985863173668</v>
      </c>
      <c r="I1118">
        <f t="shared" ca="1" si="107"/>
        <v>-1.6112798219379252</v>
      </c>
    </row>
    <row r="1119" spans="1:9" x14ac:dyDescent="0.3">
      <c r="A1119" s="1">
        <v>41802</v>
      </c>
      <c r="B1119" t="s">
        <v>0</v>
      </c>
      <c r="C1119">
        <v>549.84288240000001</v>
      </c>
      <c r="D1119" s="2">
        <f t="shared" si="103"/>
        <v>-1.3402744007644572E-2</v>
      </c>
      <c r="E1119" s="2">
        <f t="shared" ca="1" si="104"/>
        <v>1.4452551113568721</v>
      </c>
      <c r="F1119">
        <f t="shared" ca="1" si="105"/>
        <v>1.4479039179576003</v>
      </c>
      <c r="G1119" s="3">
        <f t="shared" ca="1" si="108"/>
        <v>1.7863641717465411</v>
      </c>
      <c r="H1119">
        <f t="shared" ca="1" si="106"/>
        <v>0.81053121242460557</v>
      </c>
      <c r="I1119">
        <f t="shared" ca="1" si="107"/>
        <v>-0.74031955914354874</v>
      </c>
    </row>
    <row r="1120" spans="1:9" x14ac:dyDescent="0.3">
      <c r="A1120" s="1">
        <v>41803</v>
      </c>
      <c r="B1120" t="s">
        <v>0</v>
      </c>
      <c r="C1120">
        <v>550.25175879999995</v>
      </c>
      <c r="D1120" s="2">
        <f t="shared" si="103"/>
        <v>7.4362406623368902E-4</v>
      </c>
      <c r="E1120" s="2">
        <f t="shared" ca="1" si="104"/>
        <v>-0.19082770377205166</v>
      </c>
      <c r="F1120">
        <f t="shared" ca="1" si="105"/>
        <v>-0.18493188071463101</v>
      </c>
      <c r="G1120" s="3">
        <f t="shared" ca="1" si="108"/>
        <v>1.7845113819032903</v>
      </c>
      <c r="H1120">
        <f t="shared" ca="1" si="106"/>
        <v>-0.10363166219617488</v>
      </c>
      <c r="I1120">
        <f t="shared" ca="1" si="107"/>
        <v>3.3755192991227534</v>
      </c>
    </row>
    <row r="1121" spans="1:9" x14ac:dyDescent="0.3">
      <c r="A1121" s="1">
        <v>41806</v>
      </c>
      <c r="B1121" t="s">
        <v>0</v>
      </c>
      <c r="C1121">
        <v>542.7922519</v>
      </c>
      <c r="D1121" s="2">
        <f t="shared" si="103"/>
        <v>-1.3556534405756E-2</v>
      </c>
      <c r="E1121" s="2">
        <f t="shared" ca="1" si="104"/>
        <v>0.87332291158936703</v>
      </c>
      <c r="F1121">
        <f t="shared" ca="1" si="105"/>
        <v>0.88144703302588678</v>
      </c>
      <c r="G1121" s="3">
        <f t="shared" ca="1" si="108"/>
        <v>1.7783229842042463</v>
      </c>
      <c r="H1121">
        <f t="shared" ca="1" si="106"/>
        <v>0.49566194715765405</v>
      </c>
      <c r="I1121">
        <f t="shared" ca="1" si="107"/>
        <v>0.25214419236375185</v>
      </c>
    </row>
    <row r="1122" spans="1:9" x14ac:dyDescent="0.3">
      <c r="A1122" s="1">
        <v>41807</v>
      </c>
      <c r="B1122" t="s">
        <v>0</v>
      </c>
      <c r="C1122">
        <v>541.52570619999995</v>
      </c>
      <c r="D1122" s="2">
        <f t="shared" si="103"/>
        <v>-2.3333894239768744E-3</v>
      </c>
      <c r="E1122" s="2">
        <f t="shared" ca="1" si="104"/>
        <v>-0.54956273748042384</v>
      </c>
      <c r="F1122">
        <f t="shared" ca="1" si="105"/>
        <v>-0.54598369967725591</v>
      </c>
      <c r="G1122" s="3">
        <f t="shared" ca="1" si="108"/>
        <v>1.7738006557942707</v>
      </c>
      <c r="H1122">
        <f t="shared" ca="1" si="106"/>
        <v>-0.30780442993622409</v>
      </c>
      <c r="I1122">
        <f t="shared" ca="1" si="107"/>
        <v>1.2103140507003043</v>
      </c>
    </row>
    <row r="1123" spans="1:9" x14ac:dyDescent="0.3">
      <c r="A1123" s="1">
        <v>41808</v>
      </c>
      <c r="B1123" t="s">
        <v>0</v>
      </c>
      <c r="C1123">
        <v>551.8573566</v>
      </c>
      <c r="D1123" s="2">
        <f t="shared" si="103"/>
        <v>1.9078781084095577E-2</v>
      </c>
      <c r="E1123" s="2">
        <f t="shared" ca="1" si="104"/>
        <v>-0.1429877077894344</v>
      </c>
      <c r="F1123">
        <f t="shared" ca="1" si="105"/>
        <v>-0.13385036249695509</v>
      </c>
      <c r="G1123" s="3">
        <f t="shared" ca="1" si="108"/>
        <v>1.7683105989974617</v>
      </c>
      <c r="H1123">
        <f t="shared" ca="1" si="106"/>
        <v>-7.5693920837686057E-2</v>
      </c>
      <c r="I1123">
        <f t="shared" ca="1" si="107"/>
        <v>4.0017484815488702</v>
      </c>
    </row>
    <row r="1124" spans="1:9" x14ac:dyDescent="0.3">
      <c r="A1124" s="1">
        <v>41809</v>
      </c>
      <c r="B1124" t="s">
        <v>0</v>
      </c>
      <c r="C1124">
        <v>553.38318149999998</v>
      </c>
      <c r="D1124" s="2">
        <f t="shared" si="103"/>
        <v>2.7648900241189155E-3</v>
      </c>
      <c r="E1124" s="2">
        <f t="shared" ca="1" si="104"/>
        <v>-1.8068370670124894</v>
      </c>
      <c r="F1124">
        <f t="shared" ca="1" si="105"/>
        <v>-1.8110727062909784</v>
      </c>
      <c r="G1124" s="3">
        <f t="shared" ca="1" si="108"/>
        <v>1.7622808019020491</v>
      </c>
      <c r="H1124">
        <f t="shared" ca="1" si="106"/>
        <v>-1.027686793351132</v>
      </c>
      <c r="I1124">
        <f t="shared" ca="1" si="107"/>
        <v>-1.1878409809594996</v>
      </c>
    </row>
    <row r="1125" spans="1:9" x14ac:dyDescent="0.3">
      <c r="A1125" s="1">
        <v>41810</v>
      </c>
      <c r="B1125" t="s">
        <v>0</v>
      </c>
      <c r="C1125">
        <v>554.83918100000005</v>
      </c>
      <c r="D1125" s="2">
        <f t="shared" si="103"/>
        <v>2.6310873706957344E-3</v>
      </c>
      <c r="E1125" s="2">
        <f t="shared" ca="1" si="104"/>
        <v>0.75063767841759976</v>
      </c>
      <c r="F1125">
        <f t="shared" ca="1" si="105"/>
        <v>0.73793298978802468</v>
      </c>
      <c r="G1125" s="3">
        <f t="shared" ca="1" si="108"/>
        <v>1.76349628868894</v>
      </c>
      <c r="H1125">
        <f t="shared" ca="1" si="106"/>
        <v>0.41844884762226303</v>
      </c>
      <c r="I1125">
        <f t="shared" ca="1" si="107"/>
        <v>0.60779180383138831</v>
      </c>
    </row>
    <row r="1126" spans="1:9" x14ac:dyDescent="0.3">
      <c r="A1126" s="1">
        <v>41813</v>
      </c>
      <c r="B1126" t="s">
        <v>0</v>
      </c>
      <c r="C1126">
        <v>563.40574849999996</v>
      </c>
      <c r="D1126" s="2">
        <f t="shared" si="103"/>
        <v>1.5439730634307718E-2</v>
      </c>
      <c r="E1126" s="2">
        <f t="shared" ca="1" si="104"/>
        <v>-2.3102360431311268</v>
      </c>
      <c r="F1126">
        <f t="shared" ca="1" si="105"/>
        <v>-2.3127422303437162</v>
      </c>
      <c r="G1126" s="3">
        <f t="shared" ca="1" si="108"/>
        <v>1.7586817522347316</v>
      </c>
      <c r="H1126">
        <f t="shared" ca="1" si="106"/>
        <v>-1.3150430584754449</v>
      </c>
      <c r="I1126">
        <f t="shared" ca="1" si="107"/>
        <v>-1.6769124345389228</v>
      </c>
    </row>
    <row r="1127" spans="1:9" x14ac:dyDescent="0.3">
      <c r="A1127" s="1">
        <v>41814</v>
      </c>
      <c r="B1127" t="s">
        <v>0</v>
      </c>
      <c r="C1127">
        <v>563.07664509999995</v>
      </c>
      <c r="D1127" s="2">
        <f t="shared" si="103"/>
        <v>-5.8413213013215853E-4</v>
      </c>
      <c r="E1127" s="2">
        <f t="shared" ca="1" si="104"/>
        <v>1.5207146497355406</v>
      </c>
      <c r="F1127">
        <f t="shared" ca="1" si="105"/>
        <v>1.5144726862317202</v>
      </c>
      <c r="G1127" s="3">
        <f t="shared" ca="1" si="108"/>
        <v>1.7645459763014892</v>
      </c>
      <c r="H1127">
        <f t="shared" ca="1" si="106"/>
        <v>0.85827896046442165</v>
      </c>
      <c r="I1127">
        <f t="shared" ca="1" si="107"/>
        <v>-0.83013478172545474</v>
      </c>
    </row>
    <row r="1128" spans="1:9" x14ac:dyDescent="0.3">
      <c r="A1128" s="1">
        <v>41815</v>
      </c>
      <c r="B1128" t="s">
        <v>0</v>
      </c>
      <c r="C1128">
        <v>577.06828599999994</v>
      </c>
      <c r="D1128" s="2">
        <f t="shared" si="103"/>
        <v>2.4848554849074122E-2</v>
      </c>
      <c r="E1128" s="2">
        <f t="shared" ca="1" si="104"/>
        <v>1.2902412362879032</v>
      </c>
      <c r="F1128">
        <f t="shared" ca="1" si="105"/>
        <v>1.2808011350222837</v>
      </c>
      <c r="G1128" s="3">
        <f t="shared" ca="1" si="108"/>
        <v>1.7635492948117539</v>
      </c>
      <c r="H1128">
        <f t="shared" ca="1" si="106"/>
        <v>0.72626330252877902</v>
      </c>
      <c r="I1128">
        <f t="shared" ca="1" si="107"/>
        <v>-0.49534792844736109</v>
      </c>
    </row>
    <row r="1129" spans="1:9" x14ac:dyDescent="0.3">
      <c r="A1129" s="1">
        <v>41816</v>
      </c>
      <c r="B1129" t="s">
        <v>0</v>
      </c>
      <c r="C1129">
        <v>574.42551279999998</v>
      </c>
      <c r="D1129" s="2">
        <f t="shared" si="103"/>
        <v>-4.5796542005775128E-3</v>
      </c>
      <c r="E1129" s="2">
        <f t="shared" ca="1" si="104"/>
        <v>0.11630179532713941</v>
      </c>
      <c r="F1129">
        <f t="shared" ca="1" si="105"/>
        <v>0.10925655217176186</v>
      </c>
      <c r="G1129" s="3">
        <f t="shared" ca="1" si="108"/>
        <v>1.7611403393335576</v>
      </c>
      <c r="H1129">
        <f t="shared" ca="1" si="106"/>
        <v>6.2037391190020781E-2</v>
      </c>
      <c r="I1129">
        <f t="shared" ca="1" si="107"/>
        <v>4.4263559509308772</v>
      </c>
    </row>
    <row r="1130" spans="1:9" x14ac:dyDescent="0.3">
      <c r="A1130" s="1">
        <v>41817</v>
      </c>
      <c r="B1130" t="s">
        <v>0</v>
      </c>
      <c r="C1130">
        <v>575.66215160000002</v>
      </c>
      <c r="D1130" s="2">
        <f t="shared" si="103"/>
        <v>2.1528270810468033E-3</v>
      </c>
      <c r="E1130" s="2">
        <f t="shared" ca="1" si="104"/>
        <v>3.3201365148207311</v>
      </c>
      <c r="F1130">
        <f t="shared" ca="1" si="105"/>
        <v>3.3060288963856235</v>
      </c>
      <c r="G1130" s="3">
        <f t="shared" ca="1" si="108"/>
        <v>1.7551832407115129</v>
      </c>
      <c r="H1130">
        <f t="shared" ca="1" si="106"/>
        <v>1.8835804830528302</v>
      </c>
      <c r="I1130">
        <f t="shared" ca="1" si="107"/>
        <v>-2.3914959039365158</v>
      </c>
    </row>
    <row r="1131" spans="1:9" x14ac:dyDescent="0.3">
      <c r="A1131" s="1">
        <v>41820</v>
      </c>
      <c r="B1131" t="s">
        <v>0</v>
      </c>
      <c r="C1131">
        <v>573.70749209999997</v>
      </c>
      <c r="D1131" s="2">
        <f t="shared" si="103"/>
        <v>-3.3954976796151206E-3</v>
      </c>
      <c r="E1131" s="2">
        <f t="shared" ca="1" si="104"/>
        <v>-1.1539887216320996</v>
      </c>
      <c r="F1131">
        <f t="shared" ca="1" si="105"/>
        <v>-1.1517788847198058</v>
      </c>
      <c r="G1131" s="3">
        <f t="shared" ca="1" si="108"/>
        <v>1.7734794957729871</v>
      </c>
      <c r="H1131">
        <f t="shared" ca="1" si="106"/>
        <v>-0.64944584217918599</v>
      </c>
      <c r="I1131">
        <f t="shared" ca="1" si="107"/>
        <v>-0.2826238979848168</v>
      </c>
    </row>
    <row r="1132" spans="1:9" x14ac:dyDescent="0.3">
      <c r="A1132" s="1">
        <v>41821</v>
      </c>
      <c r="B1132" t="s">
        <v>0</v>
      </c>
      <c r="C1132">
        <v>581.07727629999999</v>
      </c>
      <c r="D1132" s="2">
        <f t="shared" si="103"/>
        <v>1.2845891506530017E-2</v>
      </c>
      <c r="E1132" s="2">
        <f t="shared" ca="1" si="104"/>
        <v>-0.83716691013653577</v>
      </c>
      <c r="F1132">
        <f t="shared" ca="1" si="105"/>
        <v>-0.83749504838908762</v>
      </c>
      <c r="G1132" s="3">
        <f t="shared" ca="1" si="108"/>
        <v>1.7702151156189467</v>
      </c>
      <c r="H1132">
        <f t="shared" ca="1" si="106"/>
        <v>-0.47310354600393395</v>
      </c>
      <c r="I1132">
        <f t="shared" ca="1" si="107"/>
        <v>0.35444458672411916</v>
      </c>
    </row>
    <row r="1133" spans="1:9" x14ac:dyDescent="0.3">
      <c r="A1133" s="1">
        <v>41822</v>
      </c>
      <c r="B1133" t="s">
        <v>0</v>
      </c>
      <c r="C1133">
        <v>580.74322949999998</v>
      </c>
      <c r="D1133" s="2">
        <f t="shared" si="103"/>
        <v>-5.7487500135446285E-4</v>
      </c>
      <c r="E1133" s="2">
        <f t="shared" ca="1" si="104"/>
        <v>-0.2906372191445416</v>
      </c>
      <c r="F1133">
        <f t="shared" ca="1" si="105"/>
        <v>-0.29235305485277929</v>
      </c>
      <c r="G1133" s="3">
        <f t="shared" ca="1" si="108"/>
        <v>1.7656478171608403</v>
      </c>
      <c r="H1133">
        <f t="shared" ca="1" si="106"/>
        <v>-0.16557835147605068</v>
      </c>
      <c r="I1133">
        <f t="shared" ca="1" si="107"/>
        <v>2.4595823636098921</v>
      </c>
    </row>
    <row r="1134" spans="1:9" x14ac:dyDescent="0.3">
      <c r="A1134" s="1">
        <v>41823</v>
      </c>
      <c r="B1134" t="s">
        <v>0</v>
      </c>
      <c r="C1134">
        <v>583.13166799999999</v>
      </c>
      <c r="D1134" s="2">
        <f t="shared" si="103"/>
        <v>4.1127272410155695E-3</v>
      </c>
      <c r="E1134" s="2">
        <f t="shared" ca="1" si="104"/>
        <v>-1.2666986329547443</v>
      </c>
      <c r="F1134">
        <f t="shared" ca="1" si="105"/>
        <v>-1.2745263193169809</v>
      </c>
      <c r="G1134" s="3">
        <f t="shared" ca="1" si="108"/>
        <v>1.7597978871732385</v>
      </c>
      <c r="H1134">
        <f t="shared" ca="1" si="106"/>
        <v>-0.72424585153028642</v>
      </c>
      <c r="I1134">
        <f t="shared" ca="1" si="107"/>
        <v>-0.48515960331361419</v>
      </c>
    </row>
    <row r="1135" spans="1:9" x14ac:dyDescent="0.3">
      <c r="A1135" s="1">
        <v>41827</v>
      </c>
      <c r="B1135" t="s">
        <v>0</v>
      </c>
      <c r="C1135">
        <v>580.65845119999994</v>
      </c>
      <c r="D1135" s="2">
        <f t="shared" si="103"/>
        <v>-4.2412664852906692E-3</v>
      </c>
      <c r="E1135" s="2">
        <f t="shared" ca="1" si="104"/>
        <v>-0.26154539083818457</v>
      </c>
      <c r="F1135">
        <f t="shared" ca="1" si="105"/>
        <v>-0.26241369120296199</v>
      </c>
      <c r="G1135" s="3">
        <f t="shared" ca="1" si="108"/>
        <v>1.757421264839879</v>
      </c>
      <c r="H1135">
        <f t="shared" ca="1" si="106"/>
        <v>-0.14931746670703386</v>
      </c>
      <c r="I1135">
        <f t="shared" ca="1" si="107"/>
        <v>2.6754048658186669</v>
      </c>
    </row>
    <row r="1136" spans="1:9" x14ac:dyDescent="0.3">
      <c r="A1136" s="1">
        <v>41828</v>
      </c>
      <c r="B1136" t="s">
        <v>0</v>
      </c>
      <c r="C1136">
        <v>569.52894530000003</v>
      </c>
      <c r="D1136" s="2">
        <f t="shared" si="103"/>
        <v>-1.9167043684629858E-2</v>
      </c>
      <c r="E1136" s="2">
        <f t="shared" ca="1" si="104"/>
        <v>1.5148018163688191</v>
      </c>
      <c r="F1136">
        <f t="shared" ca="1" si="105"/>
        <v>1.5135054337873652</v>
      </c>
      <c r="G1136" s="3">
        <f t="shared" ca="1" si="108"/>
        <v>1.7516352005448592</v>
      </c>
      <c r="H1136">
        <f t="shared" ca="1" si="106"/>
        <v>0.8640528766015767</v>
      </c>
      <c r="I1136">
        <f t="shared" ca="1" si="107"/>
        <v>-0.82901725645029456</v>
      </c>
    </row>
    <row r="1137" spans="1:9" x14ac:dyDescent="0.3">
      <c r="A1137" s="1">
        <v>41829</v>
      </c>
      <c r="B1137" t="s">
        <v>0</v>
      </c>
      <c r="C1137">
        <v>574.50528569999994</v>
      </c>
      <c r="D1137" s="2">
        <f t="shared" si="103"/>
        <v>8.7376426449732418E-3</v>
      </c>
      <c r="E1137" s="2">
        <f t="shared" ca="1" si="104"/>
        <v>3.1713994683883486</v>
      </c>
      <c r="F1137">
        <f t="shared" ca="1" si="105"/>
        <v>3.1797554410473041</v>
      </c>
      <c r="G1137" s="3">
        <f t="shared" ca="1" si="108"/>
        <v>1.750897631925344</v>
      </c>
      <c r="H1137">
        <f t="shared" ca="1" si="106"/>
        <v>1.8160715869783557</v>
      </c>
      <c r="I1137">
        <f t="shared" ca="1" si="107"/>
        <v>-2.3136161279491034</v>
      </c>
    </row>
    <row r="1138" spans="1:9" x14ac:dyDescent="0.3">
      <c r="A1138" s="1">
        <v>41830</v>
      </c>
      <c r="B1138" t="s">
        <v>0</v>
      </c>
      <c r="C1138">
        <v>569.53889400000003</v>
      </c>
      <c r="D1138" s="2">
        <f t="shared" si="103"/>
        <v>-8.6446405692310897E-3</v>
      </c>
      <c r="E1138" s="2">
        <f t="shared" ca="1" si="104"/>
        <v>2.5354025843308001</v>
      </c>
      <c r="F1138">
        <f t="shared" ca="1" si="105"/>
        <v>2.5447325760694306</v>
      </c>
      <c r="G1138" s="3">
        <f t="shared" ca="1" si="108"/>
        <v>1.7676057356056298</v>
      </c>
      <c r="H1138">
        <f t="shared" ca="1" si="106"/>
        <v>1.4396494222720633</v>
      </c>
      <c r="I1138">
        <f t="shared" ca="1" si="107"/>
        <v>-1.8680626727325471</v>
      </c>
    </row>
    <row r="1139" spans="1:9" x14ac:dyDescent="0.3">
      <c r="A1139" s="1">
        <v>41831</v>
      </c>
      <c r="B1139" t="s">
        <v>0</v>
      </c>
      <c r="C1139">
        <v>577.59685279999997</v>
      </c>
      <c r="D1139" s="2">
        <f t="shared" si="103"/>
        <v>1.4148215134891099E-2</v>
      </c>
      <c r="E1139" s="2">
        <f t="shared" ca="1" si="104"/>
        <v>-1.8983028017551482</v>
      </c>
      <c r="F1139">
        <f t="shared" ca="1" si="105"/>
        <v>-1.9011661699121578</v>
      </c>
      <c r="G1139" s="3">
        <f t="shared" ca="1" si="108"/>
        <v>1.775629679516608</v>
      </c>
      <c r="H1139">
        <f t="shared" ca="1" si="106"/>
        <v>-1.0706997026709564</v>
      </c>
      <c r="I1139">
        <f t="shared" ca="1" si="107"/>
        <v>-1.2849903243578391</v>
      </c>
    </row>
    <row r="1140" spans="1:9" x14ac:dyDescent="0.3">
      <c r="A1140" s="1">
        <v>41834</v>
      </c>
      <c r="B1140" t="s">
        <v>0</v>
      </c>
      <c r="C1140">
        <v>583.27125579999995</v>
      </c>
      <c r="D1140" s="2">
        <f t="shared" si="103"/>
        <v>9.8241584463148318E-3</v>
      </c>
      <c r="E1140" s="2">
        <f t="shared" ca="1" si="104"/>
        <v>-1.7776087736255031</v>
      </c>
      <c r="F1140">
        <f t="shared" ca="1" si="105"/>
        <v>-1.7764442932889599</v>
      </c>
      <c r="G1140" s="3">
        <f t="shared" ca="1" si="108"/>
        <v>1.7772433306066835</v>
      </c>
      <c r="H1140">
        <f t="shared" ca="1" si="106"/>
        <v>-0.99955040634899961</v>
      </c>
      <c r="I1140">
        <f t="shared" ca="1" si="107"/>
        <v>-1.149258140372464</v>
      </c>
    </row>
    <row r="1141" spans="1:9" x14ac:dyDescent="0.3">
      <c r="A1141" s="1">
        <v>41835</v>
      </c>
      <c r="B1141" t="s">
        <v>0</v>
      </c>
      <c r="C1141">
        <v>583.18153410000002</v>
      </c>
      <c r="D1141" s="2">
        <f t="shared" si="103"/>
        <v>-1.5382499841667545E-4</v>
      </c>
      <c r="E1141" s="2">
        <f t="shared" ca="1" si="104"/>
        <v>-0.47224755454638528</v>
      </c>
      <c r="F1141">
        <f t="shared" ca="1" si="105"/>
        <v>-0.48398682592067083</v>
      </c>
      <c r="G1141" s="3">
        <f t="shared" ca="1" si="108"/>
        <v>1.7778354027862247</v>
      </c>
      <c r="H1141">
        <f t="shared" ca="1" si="106"/>
        <v>-0.27223376537679833</v>
      </c>
      <c r="I1141">
        <f t="shared" ca="1" si="107"/>
        <v>1.451395082601036</v>
      </c>
    </row>
    <row r="1142" spans="1:9" x14ac:dyDescent="0.3">
      <c r="A1142" s="1">
        <v>41836</v>
      </c>
      <c r="B1142" t="s">
        <v>0</v>
      </c>
      <c r="C1142">
        <v>581.06732769999996</v>
      </c>
      <c r="D1142" s="2">
        <f t="shared" si="103"/>
        <v>-3.6252972297259457E-3</v>
      </c>
      <c r="E1142" s="2">
        <f t="shared" ca="1" si="104"/>
        <v>-0.3552630061458234</v>
      </c>
      <c r="F1142">
        <f t="shared" ca="1" si="105"/>
        <v>-0.3613346118697206</v>
      </c>
      <c r="G1142" s="3">
        <f t="shared" ca="1" si="108"/>
        <v>1.7721561217580934</v>
      </c>
      <c r="H1142">
        <f t="shared" ca="1" si="106"/>
        <v>-0.20389547367376037</v>
      </c>
      <c r="I1142">
        <f t="shared" ca="1" si="107"/>
        <v>2.03580103195194</v>
      </c>
    </row>
    <row r="1143" spans="1:9" x14ac:dyDescent="0.3">
      <c r="A1143" s="1">
        <v>41837</v>
      </c>
      <c r="B1143" t="s">
        <v>0</v>
      </c>
      <c r="C1143">
        <v>572.16170899999997</v>
      </c>
      <c r="D1143" s="2">
        <f t="shared" si="103"/>
        <v>-1.5326311212937246E-2</v>
      </c>
      <c r="E1143" s="2">
        <f t="shared" ca="1" si="104"/>
        <v>6.4893386278710802E-2</v>
      </c>
      <c r="F1143">
        <f t="shared" ca="1" si="105"/>
        <v>6.6070110942910376E-2</v>
      </c>
      <c r="G1143" s="3">
        <f t="shared" ca="1" si="108"/>
        <v>1.766324436916779</v>
      </c>
      <c r="H1143">
        <f t="shared" ca="1" si="106"/>
        <v>3.7405421994975936E-2</v>
      </c>
      <c r="I1143">
        <f t="shared" ca="1" si="107"/>
        <v>5.3802673529913614</v>
      </c>
    </row>
    <row r="1144" spans="1:9" x14ac:dyDescent="0.3">
      <c r="A1144" s="1">
        <v>41838</v>
      </c>
      <c r="B1144" t="s">
        <v>0</v>
      </c>
      <c r="C1144">
        <v>593.45336980000002</v>
      </c>
      <c r="D1144" s="2">
        <f t="shared" si="103"/>
        <v>3.7212662897719441E-2</v>
      </c>
      <c r="E1144" s="2">
        <f t="shared" ca="1" si="104"/>
        <v>-2.1116676942149408</v>
      </c>
      <c r="F1144">
        <f t="shared" ca="1" si="105"/>
        <v>-2.1048404572668105</v>
      </c>
      <c r="G1144" s="3">
        <f t="shared" ca="1" si="108"/>
        <v>1.7602887542134913</v>
      </c>
      <c r="H1144">
        <f t="shared" ca="1" si="106"/>
        <v>-1.1957358997088334</v>
      </c>
      <c r="I1144">
        <f t="shared" ca="1" si="107"/>
        <v>-1.4887919109847993</v>
      </c>
    </row>
    <row r="1145" spans="1:9" x14ac:dyDescent="0.3">
      <c r="A1145" s="1">
        <v>41841</v>
      </c>
      <c r="B1145" t="s">
        <v>0</v>
      </c>
      <c r="C1145">
        <v>587.85867900000005</v>
      </c>
      <c r="D1145" s="2">
        <f t="shared" si="103"/>
        <v>-9.4273469234582592E-3</v>
      </c>
      <c r="E1145" s="2">
        <f t="shared" ca="1" si="104"/>
        <v>-0.38580044805095071</v>
      </c>
      <c r="F1145">
        <f t="shared" ca="1" si="105"/>
        <v>-0.38735233469783559</v>
      </c>
      <c r="G1145" s="3">
        <f t="shared" ca="1" si="108"/>
        <v>1.7640835111791049</v>
      </c>
      <c r="H1145">
        <f t="shared" ca="1" si="106"/>
        <v>-0.21957709611997403</v>
      </c>
      <c r="I1145">
        <f t="shared" ca="1" si="107"/>
        <v>1.8962488151785728</v>
      </c>
    </row>
    <row r="1146" spans="1:9" x14ac:dyDescent="0.3">
      <c r="A1146" s="1">
        <v>41842</v>
      </c>
      <c r="B1146" t="s">
        <v>0</v>
      </c>
      <c r="C1146">
        <v>593.11431760000005</v>
      </c>
      <c r="D1146" s="2">
        <f t="shared" si="103"/>
        <v>8.9403096147875321E-3</v>
      </c>
      <c r="E1146" s="2">
        <f t="shared" ca="1" si="104"/>
        <v>-2.2411549726207611</v>
      </c>
      <c r="F1146">
        <f t="shared" ca="1" si="105"/>
        <v>-2.2615162658714998</v>
      </c>
      <c r="G1146" s="3">
        <f t="shared" ca="1" si="108"/>
        <v>1.7583945391685629</v>
      </c>
      <c r="H1146">
        <f t="shared" ca="1" si="106"/>
        <v>-1.2861256194191961</v>
      </c>
      <c r="I1146">
        <f t="shared" ca="1" si="107"/>
        <v>-1.6320866329309589</v>
      </c>
    </row>
    <row r="1147" spans="1:9" x14ac:dyDescent="0.3">
      <c r="A1147" s="1">
        <v>41843</v>
      </c>
      <c r="B1147" t="s">
        <v>0</v>
      </c>
      <c r="C1147">
        <v>594.35089559999994</v>
      </c>
      <c r="D1147" s="2">
        <f t="shared" si="103"/>
        <v>2.084889815176997E-3</v>
      </c>
      <c r="E1147" s="2">
        <f t="shared" ca="1" si="104"/>
        <v>-2.337192656470743</v>
      </c>
      <c r="F1147">
        <f t="shared" ca="1" si="105"/>
        <v>-2.333987970028351</v>
      </c>
      <c r="G1147" s="3">
        <f t="shared" ca="1" si="108"/>
        <v>1.7637516105341398</v>
      </c>
      <c r="H1147">
        <f t="shared" ca="1" si="106"/>
        <v>-1.3233087675659267</v>
      </c>
      <c r="I1147">
        <f t="shared" ca="1" si="107"/>
        <v>-1.6951575571808741</v>
      </c>
    </row>
    <row r="1148" spans="1:9" x14ac:dyDescent="0.3">
      <c r="A1148" s="1">
        <v>41844</v>
      </c>
      <c r="B1148" t="s">
        <v>0</v>
      </c>
      <c r="C1148">
        <v>591.7280816</v>
      </c>
      <c r="D1148" s="2">
        <f t="shared" si="103"/>
        <v>-4.4129049344700756E-3</v>
      </c>
      <c r="E1148" s="2">
        <f t="shared" ca="1" si="104"/>
        <v>0.73404831033996143</v>
      </c>
      <c r="F1148">
        <f t="shared" ca="1" si="105"/>
        <v>0.72785956697605081</v>
      </c>
      <c r="G1148" s="3">
        <f t="shared" ca="1" si="108"/>
        <v>1.7696700073577711</v>
      </c>
      <c r="H1148">
        <f t="shared" ca="1" si="106"/>
        <v>0.41129677507660933</v>
      </c>
      <c r="I1148">
        <f t="shared" ca="1" si="107"/>
        <v>0.63525754562182268</v>
      </c>
    </row>
    <row r="1149" spans="1:9" x14ac:dyDescent="0.3">
      <c r="A1149" s="1">
        <v>41845</v>
      </c>
      <c r="B1149" t="s">
        <v>0</v>
      </c>
      <c r="C1149">
        <v>587.40994699999999</v>
      </c>
      <c r="D1149" s="2">
        <f t="shared" si="103"/>
        <v>-7.2974981824827558E-3</v>
      </c>
      <c r="E1149" s="2">
        <f t="shared" ca="1" si="104"/>
        <v>-0.72420435848965758</v>
      </c>
      <c r="F1149">
        <f t="shared" ca="1" si="105"/>
        <v>-0.72418683674872864</v>
      </c>
      <c r="G1149" s="3">
        <f t="shared" ca="1" si="108"/>
        <v>1.7647374244366958</v>
      </c>
      <c r="H1149">
        <f t="shared" ca="1" si="106"/>
        <v>-0.41036520601918391</v>
      </c>
      <c r="I1149">
        <f t="shared" ca="1" si="107"/>
        <v>0.64531017392241807</v>
      </c>
    </row>
    <row r="1150" spans="1:9" x14ac:dyDescent="0.3">
      <c r="A1150" s="1">
        <v>41848</v>
      </c>
      <c r="B1150" t="s">
        <v>0</v>
      </c>
      <c r="C1150">
        <v>588.98563690000003</v>
      </c>
      <c r="D1150" s="2">
        <f t="shared" si="103"/>
        <v>2.6824365301393901E-3</v>
      </c>
      <c r="E1150" s="2">
        <f t="shared" ca="1" si="104"/>
        <v>0.2804182571206833</v>
      </c>
      <c r="F1150">
        <f t="shared" ca="1" si="105"/>
        <v>0.28534202021125588</v>
      </c>
      <c r="G1150" s="3">
        <f t="shared" ca="1" si="108"/>
        <v>1.7598615101188586</v>
      </c>
      <c r="H1150">
        <f t="shared" ca="1" si="106"/>
        <v>0.1621389061415317</v>
      </c>
      <c r="I1150">
        <f t="shared" ca="1" si="107"/>
        <v>2.5080451200156721</v>
      </c>
    </row>
    <row r="1151" spans="1:9" x14ac:dyDescent="0.3">
      <c r="A1151" s="1">
        <v>41849</v>
      </c>
      <c r="B1151" t="s">
        <v>0</v>
      </c>
      <c r="C1151">
        <v>584.00923560000001</v>
      </c>
      <c r="D1151" s="2">
        <f t="shared" si="103"/>
        <v>-8.449104677988829E-3</v>
      </c>
      <c r="E1151" s="2">
        <f t="shared" ca="1" si="104"/>
        <v>-0.6633540937751764</v>
      </c>
      <c r="F1151">
        <f t="shared" ca="1" si="105"/>
        <v>-0.65960977562516709</v>
      </c>
      <c r="G1151" s="3">
        <f t="shared" ca="1" si="108"/>
        <v>1.7540734549595889</v>
      </c>
      <c r="H1151">
        <f t="shared" ca="1" si="106"/>
        <v>-0.37604455717640595</v>
      </c>
      <c r="I1151">
        <f t="shared" ca="1" si="107"/>
        <v>0.83204965892809835</v>
      </c>
    </row>
    <row r="1152" spans="1:9" x14ac:dyDescent="0.3">
      <c r="A1152" s="1">
        <v>41850</v>
      </c>
      <c r="B1152" t="s">
        <v>0</v>
      </c>
      <c r="C1152">
        <v>585.81429679999997</v>
      </c>
      <c r="D1152" s="2">
        <f t="shared" si="103"/>
        <v>3.0908093399335868E-3</v>
      </c>
      <c r="E1152" s="2">
        <f t="shared" ca="1" si="104"/>
        <v>0.20947249625132291</v>
      </c>
      <c r="F1152">
        <f t="shared" ca="1" si="105"/>
        <v>0.21032138290082814</v>
      </c>
      <c r="G1152" s="3">
        <f t="shared" ca="1" si="108"/>
        <v>1.7491463418555249</v>
      </c>
      <c r="H1152">
        <f t="shared" ca="1" si="106"/>
        <v>0.12024230212648505</v>
      </c>
      <c r="I1152">
        <f t="shared" ca="1" si="107"/>
        <v>3.1180210846027037</v>
      </c>
    </row>
    <row r="1153" spans="1:9" x14ac:dyDescent="0.3">
      <c r="A1153" s="1">
        <v>41851</v>
      </c>
      <c r="B1153" t="s">
        <v>0</v>
      </c>
      <c r="C1153">
        <v>570.03755390000003</v>
      </c>
      <c r="D1153" s="2">
        <f t="shared" si="103"/>
        <v>-2.6931303974962892E-2</v>
      </c>
      <c r="E1153" s="2">
        <f t="shared" ca="1" si="104"/>
        <v>2.3286451310376801</v>
      </c>
      <c r="F1153">
        <f t="shared" ca="1" si="105"/>
        <v>2.3329847880907599</v>
      </c>
      <c r="G1153" s="3">
        <f t="shared" ca="1" si="108"/>
        <v>1.7434060031282517</v>
      </c>
      <c r="H1153">
        <f t="shared" ca="1" si="106"/>
        <v>1.338176410947655</v>
      </c>
      <c r="I1153">
        <f t="shared" ca="1" si="107"/>
        <v>-1.694430202675375</v>
      </c>
    </row>
    <row r="1154" spans="1:9" x14ac:dyDescent="0.3">
      <c r="A1154" s="1">
        <v>41852</v>
      </c>
      <c r="B1154" t="s">
        <v>0</v>
      </c>
      <c r="C1154">
        <v>564.5226361</v>
      </c>
      <c r="D1154" s="2">
        <f t="shared" si="103"/>
        <v>-9.6746569805250069E-3</v>
      </c>
      <c r="E1154" s="2">
        <f t="shared" ca="1" si="104"/>
        <v>0.90925005632881961</v>
      </c>
      <c r="F1154">
        <f t="shared" ca="1" si="105"/>
        <v>0.91535540367411927</v>
      </c>
      <c r="G1154" s="3">
        <f t="shared" ca="1" si="108"/>
        <v>1.7499767590822854</v>
      </c>
      <c r="H1154">
        <f t="shared" ca="1" si="106"/>
        <v>0.52306717727734031</v>
      </c>
      <c r="I1154">
        <f t="shared" ca="1" si="107"/>
        <v>0.17677402971453862</v>
      </c>
    </row>
    <row r="1155" spans="1:9" x14ac:dyDescent="0.3">
      <c r="A1155" s="1">
        <v>41855</v>
      </c>
      <c r="B1155" t="s">
        <v>0</v>
      </c>
      <c r="C1155">
        <v>571.58333689999995</v>
      </c>
      <c r="D1155" s="2">
        <f t="shared" si="103"/>
        <v>1.2507382961255094E-2</v>
      </c>
      <c r="E1155" s="2">
        <f t="shared" ca="1" si="104"/>
        <v>2.3625121935999305</v>
      </c>
      <c r="F1155">
        <f t="shared" ca="1" si="105"/>
        <v>2.3821668760110755</v>
      </c>
      <c r="G1155" s="3">
        <f t="shared" ca="1" si="108"/>
        <v>1.74601111292085</v>
      </c>
      <c r="H1155">
        <f t="shared" ca="1" si="106"/>
        <v>1.3643480607783873</v>
      </c>
      <c r="I1155">
        <f t="shared" ca="1" si="107"/>
        <v>-1.7360486180956816</v>
      </c>
    </row>
    <row r="1156" spans="1:9" x14ac:dyDescent="0.3">
      <c r="A1156" s="1">
        <v>41856</v>
      </c>
      <c r="B1156" t="s">
        <v>0</v>
      </c>
      <c r="C1156">
        <v>563.52537810000001</v>
      </c>
      <c r="D1156" s="2">
        <f t="shared" ref="D1156:D1219" si="109">(C1156-C1155)/C1155</f>
        <v>-1.4097609709377689E-2</v>
      </c>
      <c r="E1156" s="2">
        <f t="shared" ca="1" si="104"/>
        <v>0.10394768321507719</v>
      </c>
      <c r="F1156">
        <f t="shared" ca="1" si="105"/>
        <v>0.10624279081745833</v>
      </c>
      <c r="G1156" s="3">
        <f t="shared" ca="1" si="108"/>
        <v>1.7530174385265531</v>
      </c>
      <c r="H1156">
        <f t="shared" ca="1" si="106"/>
        <v>6.0605666824830651E-2</v>
      </c>
      <c r="I1156">
        <f t="shared" ca="1" si="107"/>
        <v>4.4664493791657938</v>
      </c>
    </row>
    <row r="1157" spans="1:9" x14ac:dyDescent="0.3">
      <c r="A1157" s="1">
        <v>41857</v>
      </c>
      <c r="B1157" t="s">
        <v>0</v>
      </c>
      <c r="C1157">
        <v>564.82585959999994</v>
      </c>
      <c r="D1157" s="2">
        <f t="shared" si="109"/>
        <v>2.3077603077694161E-3</v>
      </c>
      <c r="E1157" s="2">
        <f t="shared" ca="1" si="104"/>
        <v>-1.6889776933271561</v>
      </c>
      <c r="F1157">
        <f t="shared" ca="1" si="105"/>
        <v>-1.6925625793843173</v>
      </c>
      <c r="G1157" s="3">
        <f t="shared" ca="1" si="108"/>
        <v>1.7471563208751395</v>
      </c>
      <c r="H1157">
        <f t="shared" ca="1" si="106"/>
        <v>-0.96875280085786686</v>
      </c>
      <c r="I1157">
        <f t="shared" ca="1" si="107"/>
        <v>-1.0524892583460717</v>
      </c>
    </row>
    <row r="1158" spans="1:9" x14ac:dyDescent="0.3">
      <c r="A1158" s="1">
        <v>41858</v>
      </c>
      <c r="B1158" t="s">
        <v>0</v>
      </c>
      <c r="C1158">
        <v>561.82004810000001</v>
      </c>
      <c r="D1158" s="2">
        <f t="shared" si="109"/>
        <v>-5.3216605594662413E-3</v>
      </c>
      <c r="E1158" s="2">
        <f t="shared" ref="E1158:E1221" ca="1" si="110">$N$9*D1157+$N$10*D1156+F1158</f>
        <v>-1.4505785227895638</v>
      </c>
      <c r="F1158">
        <f t="shared" ref="F1158:F1221" ca="1" si="111">G1158*H1158</f>
        <v>-1.442488082146774</v>
      </c>
      <c r="G1158" s="3">
        <f t="shared" ca="1" si="108"/>
        <v>1.7478054827100609</v>
      </c>
      <c r="H1158">
        <f t="shared" ref="H1158:H1221" ca="1" si="112">_xlfn.NORM.S.INV(RAND())</f>
        <v>-0.82531385581313277</v>
      </c>
      <c r="I1158">
        <f t="shared" ref="I1158:I1221" ca="1" si="113">-LN(F1158^2)-(D1158^2)/(F1158^2)</f>
        <v>-0.73275252521348522</v>
      </c>
    </row>
    <row r="1159" spans="1:9" x14ac:dyDescent="0.3">
      <c r="A1159" s="1">
        <v>41859</v>
      </c>
      <c r="B1159" t="s">
        <v>0</v>
      </c>
      <c r="C1159">
        <v>567.21527549999996</v>
      </c>
      <c r="D1159" s="2">
        <f t="shared" si="109"/>
        <v>9.6031236661024977E-3</v>
      </c>
      <c r="E1159" s="2">
        <f t="shared" ca="1" si="110"/>
        <v>-0.63090414655536664</v>
      </c>
      <c r="F1159">
        <f t="shared" ca="1" si="111"/>
        <v>-0.63075444601290453</v>
      </c>
      <c r="G1159" s="3">
        <f t="shared" ref="G1159:G1222" ca="1" si="114">SQRT($N$6+$N$7*(H1158^2)+$N$8*(G1158^2))</f>
        <v>1.7466746777731879</v>
      </c>
      <c r="H1159">
        <f t="shared" ca="1" si="112"/>
        <v>-0.3611173013723683</v>
      </c>
      <c r="I1159">
        <f t="shared" ca="1" si="113"/>
        <v>0.92144549024694722</v>
      </c>
    </row>
    <row r="1160" spans="1:9" x14ac:dyDescent="0.3">
      <c r="A1160" s="1">
        <v>41862</v>
      </c>
      <c r="B1160" t="s">
        <v>0</v>
      </c>
      <c r="C1160">
        <v>566.32769829999995</v>
      </c>
      <c r="D1160" s="2">
        <f t="shared" si="109"/>
        <v>-1.5647977731516678E-3</v>
      </c>
      <c r="E1160" s="2">
        <f t="shared" ca="1" si="110"/>
        <v>0.38327969081748803</v>
      </c>
      <c r="F1160">
        <f t="shared" ca="1" si="111"/>
        <v>0.38373015167556185</v>
      </c>
      <c r="G1160" s="3">
        <f t="shared" ca="1" si="114"/>
        <v>1.741764372418547</v>
      </c>
      <c r="H1160">
        <f t="shared" ca="1" si="112"/>
        <v>0.22031117282685542</v>
      </c>
      <c r="I1160">
        <f t="shared" ca="1" si="113"/>
        <v>1.9156147779320423</v>
      </c>
    </row>
    <row r="1161" spans="1:9" x14ac:dyDescent="0.3">
      <c r="A1161" s="1">
        <v>41863</v>
      </c>
      <c r="B1161" t="s">
        <v>0</v>
      </c>
      <c r="C1161">
        <v>561.19180989999995</v>
      </c>
      <c r="D1161" s="2">
        <f t="shared" si="109"/>
        <v>-9.0687572149779835E-3</v>
      </c>
      <c r="E1161" s="2">
        <f t="shared" ca="1" si="110"/>
        <v>-0.1764757874458813</v>
      </c>
      <c r="F1161">
        <f t="shared" ca="1" si="111"/>
        <v>-0.18198905222306463</v>
      </c>
      <c r="G1161" s="3">
        <f t="shared" ca="1" si="114"/>
        <v>1.7363489859013912</v>
      </c>
      <c r="H1161">
        <f t="shared" ca="1" si="112"/>
        <v>-0.10481133326350786</v>
      </c>
      <c r="I1161">
        <f t="shared" ca="1" si="113"/>
        <v>3.4051343308388029</v>
      </c>
    </row>
    <row r="1162" spans="1:9" x14ac:dyDescent="0.3">
      <c r="A1162" s="1">
        <v>41864</v>
      </c>
      <c r="B1162" t="s">
        <v>0</v>
      </c>
      <c r="C1162">
        <v>573.20883219999996</v>
      </c>
      <c r="D1162" s="2">
        <f t="shared" si="109"/>
        <v>2.1413395719622759E-2</v>
      </c>
      <c r="E1162" s="2">
        <f t="shared" ca="1" si="110"/>
        <v>-2.08678413370132</v>
      </c>
      <c r="F1162">
        <f t="shared" ca="1" si="111"/>
        <v>-2.0831057493050613</v>
      </c>
      <c r="G1162" s="3">
        <f t="shared" ca="1" si="114"/>
        <v>1.7307390851745541</v>
      </c>
      <c r="H1162">
        <f t="shared" ca="1" si="112"/>
        <v>-1.203593174239183</v>
      </c>
      <c r="I1162">
        <f t="shared" ca="1" si="113"/>
        <v>-1.467825526766501</v>
      </c>
    </row>
    <row r="1163" spans="1:9" x14ac:dyDescent="0.3">
      <c r="A1163" s="1">
        <v>41865</v>
      </c>
      <c r="B1163" t="s">
        <v>0</v>
      </c>
      <c r="C1163">
        <v>573.0791931</v>
      </c>
      <c r="D1163" s="2">
        <f t="shared" si="109"/>
        <v>-2.2616382148614604E-4</v>
      </c>
      <c r="E1163" s="2">
        <f t="shared" ca="1" si="110"/>
        <v>-0.92208534971494271</v>
      </c>
      <c r="F1163">
        <f t="shared" ca="1" si="111"/>
        <v>-0.92282299911343835</v>
      </c>
      <c r="G1163" s="3">
        <f t="shared" ca="1" si="114"/>
        <v>1.7351835874558854</v>
      </c>
      <c r="H1163">
        <f t="shared" ca="1" si="112"/>
        <v>-0.53183017969094282</v>
      </c>
      <c r="I1163">
        <f t="shared" ca="1" si="113"/>
        <v>0.16063559955653617</v>
      </c>
    </row>
    <row r="1164" spans="1:9" x14ac:dyDescent="0.3">
      <c r="A1164" s="1">
        <v>41866</v>
      </c>
      <c r="B1164" t="s">
        <v>0</v>
      </c>
      <c r="C1164">
        <v>571.91244040000004</v>
      </c>
      <c r="D1164" s="2">
        <f t="shared" si="109"/>
        <v>-2.035936244149013E-3</v>
      </c>
      <c r="E1164" s="2">
        <f t="shared" ca="1" si="110"/>
        <v>-2.6134684453149455</v>
      </c>
      <c r="F1164">
        <f t="shared" ca="1" si="111"/>
        <v>-2.6267350618808818</v>
      </c>
      <c r="G1164" s="3">
        <f t="shared" ca="1" si="114"/>
        <v>1.731475841626787</v>
      </c>
      <c r="H1164">
        <f t="shared" ca="1" si="112"/>
        <v>-1.5170497899716375</v>
      </c>
      <c r="I1164">
        <f t="shared" ca="1" si="113"/>
        <v>-1.9314839080524273</v>
      </c>
    </row>
    <row r="1165" spans="1:9" x14ac:dyDescent="0.3">
      <c r="A1165" s="1">
        <v>41869</v>
      </c>
      <c r="B1165" t="s">
        <v>0</v>
      </c>
      <c r="C1165">
        <v>580.56866769999999</v>
      </c>
      <c r="D1165" s="2">
        <f t="shared" si="109"/>
        <v>1.5135581408136046E-2</v>
      </c>
      <c r="E1165" s="2">
        <f t="shared" ca="1" si="110"/>
        <v>1.9002049678039479</v>
      </c>
      <c r="F1165">
        <f t="shared" ca="1" si="111"/>
        <v>1.9009528450959168</v>
      </c>
      <c r="G1165" s="3">
        <f t="shared" ca="1" si="114"/>
        <v>1.741801605353642</v>
      </c>
      <c r="H1165">
        <f t="shared" ca="1" si="112"/>
        <v>1.0913716230672332</v>
      </c>
      <c r="I1165">
        <f t="shared" ca="1" si="113"/>
        <v>-1.2847739108432743</v>
      </c>
    </row>
    <row r="1166" spans="1:9" x14ac:dyDescent="0.3">
      <c r="A1166" s="1">
        <v>41870</v>
      </c>
      <c r="B1166" t="s">
        <v>0</v>
      </c>
      <c r="C1166">
        <v>585.25582310000004</v>
      </c>
      <c r="D1166" s="2">
        <f t="shared" si="109"/>
        <v>8.0733867684745046E-3</v>
      </c>
      <c r="E1166" s="2">
        <f t="shared" ca="1" si="110"/>
        <v>0.33341696941910126</v>
      </c>
      <c r="F1166">
        <f t="shared" ca="1" si="111"/>
        <v>0.33017183289640556</v>
      </c>
      <c r="G1166" s="3">
        <f t="shared" ca="1" si="114"/>
        <v>1.7442761382529355</v>
      </c>
      <c r="H1166">
        <f t="shared" ca="1" si="112"/>
        <v>0.18928874027199913</v>
      </c>
      <c r="I1166">
        <f t="shared" ca="1" si="113"/>
        <v>2.2156862045669539</v>
      </c>
    </row>
    <row r="1167" spans="1:9" x14ac:dyDescent="0.3">
      <c r="A1167" s="1">
        <v>41871</v>
      </c>
      <c r="B1167" t="s">
        <v>0</v>
      </c>
      <c r="C1167">
        <v>582.89228720000006</v>
      </c>
      <c r="D1167" s="2">
        <f t="shared" si="109"/>
        <v>-4.0384662684443571E-3</v>
      </c>
      <c r="E1167" s="2">
        <f t="shared" ca="1" si="110"/>
        <v>-2.2433392719366827</v>
      </c>
      <c r="F1167">
        <f t="shared" ca="1" si="111"/>
        <v>-2.2551713534201077</v>
      </c>
      <c r="G1167" s="3">
        <f t="shared" ca="1" si="114"/>
        <v>1.7387422543035667</v>
      </c>
      <c r="H1167">
        <f t="shared" ca="1" si="112"/>
        <v>-1.2970130264208657</v>
      </c>
      <c r="I1167">
        <f t="shared" ca="1" si="113"/>
        <v>-1.6264551233755979</v>
      </c>
    </row>
    <row r="1168" spans="1:9" x14ac:dyDescent="0.3">
      <c r="A1168" s="1">
        <v>41872</v>
      </c>
      <c r="B1168" t="s">
        <v>0</v>
      </c>
      <c r="C1168">
        <v>581.77539960000001</v>
      </c>
      <c r="D1168" s="2">
        <f t="shared" si="109"/>
        <v>-1.916113190251938E-3</v>
      </c>
      <c r="E1168" s="2">
        <f t="shared" ca="1" si="110"/>
        <v>0.4476085932263662</v>
      </c>
      <c r="F1168">
        <f t="shared" ca="1" si="111"/>
        <v>0.44378545302040073</v>
      </c>
      <c r="G1168" s="3">
        <f t="shared" ca="1" si="114"/>
        <v>1.7446545990089828</v>
      </c>
      <c r="H1168">
        <f t="shared" ca="1" si="112"/>
        <v>0.2543686602909736</v>
      </c>
      <c r="I1168">
        <f t="shared" ca="1" si="113"/>
        <v>1.6248094523482779</v>
      </c>
    </row>
    <row r="1169" spans="1:9" x14ac:dyDescent="0.3">
      <c r="A1169" s="1">
        <v>41873</v>
      </c>
      <c r="B1169" t="s">
        <v>0</v>
      </c>
      <c r="C1169">
        <v>580.96759550000002</v>
      </c>
      <c r="D1169" s="2">
        <f t="shared" si="109"/>
        <v>-1.3885153971023949E-3</v>
      </c>
      <c r="E1169" s="2">
        <f t="shared" ca="1" si="110"/>
        <v>-0.61749891016113345</v>
      </c>
      <c r="F1169">
        <f t="shared" ca="1" si="111"/>
        <v>-0.61441285181841898</v>
      </c>
      <c r="G1169" s="3">
        <f t="shared" ca="1" si="114"/>
        <v>1.7393156391938203</v>
      </c>
      <c r="H1169">
        <f t="shared" ca="1" si="112"/>
        <v>-0.35324977133144264</v>
      </c>
      <c r="I1169">
        <f t="shared" ca="1" si="113"/>
        <v>0.97417125221256173</v>
      </c>
    </row>
    <row r="1170" spans="1:9" x14ac:dyDescent="0.3">
      <c r="A1170" s="1">
        <v>41876</v>
      </c>
      <c r="B1170" t="s">
        <v>0</v>
      </c>
      <c r="C1170">
        <v>578.61406910000005</v>
      </c>
      <c r="D1170" s="2">
        <f t="shared" si="109"/>
        <v>-4.051045907258289E-3</v>
      </c>
      <c r="E1170" s="2">
        <f t="shared" ca="1" si="110"/>
        <v>-1.832326665219177</v>
      </c>
      <c r="F1170">
        <f t="shared" ca="1" si="111"/>
        <v>-1.8307195005580643</v>
      </c>
      <c r="G1170" s="3">
        <f t="shared" ca="1" si="114"/>
        <v>1.7344586094434156</v>
      </c>
      <c r="H1170">
        <f t="shared" ca="1" si="112"/>
        <v>-1.0554990995983113</v>
      </c>
      <c r="I1170">
        <f t="shared" ca="1" si="113"/>
        <v>-1.2094230151283403</v>
      </c>
    </row>
    <row r="1171" spans="1:9" x14ac:dyDescent="0.3">
      <c r="A1171" s="1">
        <v>41877</v>
      </c>
      <c r="B1171" t="s">
        <v>0</v>
      </c>
      <c r="C1171">
        <v>576.280441</v>
      </c>
      <c r="D1171" s="2">
        <f t="shared" si="109"/>
        <v>-4.0331340432663105E-3</v>
      </c>
      <c r="E1171" s="2">
        <f t="shared" ca="1" si="110"/>
        <v>2.0942461887056507</v>
      </c>
      <c r="F1171">
        <f t="shared" ca="1" si="111"/>
        <v>2.0963186945458125</v>
      </c>
      <c r="G1171" s="3">
        <f t="shared" ca="1" si="114"/>
        <v>1.736522997357788</v>
      </c>
      <c r="H1171">
        <f t="shared" ca="1" si="112"/>
        <v>1.207193165731449</v>
      </c>
      <c r="I1171">
        <f t="shared" ca="1" si="113"/>
        <v>-1.4803693090899805</v>
      </c>
    </row>
    <row r="1172" spans="1:9" x14ac:dyDescent="0.3">
      <c r="A1172" s="1">
        <v>41878</v>
      </c>
      <c r="B1172" t="s">
        <v>0</v>
      </c>
      <c r="C1172">
        <v>569.43916179999997</v>
      </c>
      <c r="D1172" s="2">
        <f t="shared" si="109"/>
        <v>-1.1871440904932657E-2</v>
      </c>
      <c r="E1172" s="2">
        <f t="shared" ca="1" si="110"/>
        <v>0.87386215173880266</v>
      </c>
      <c r="F1172">
        <f t="shared" ca="1" si="111"/>
        <v>0.87758726583637747</v>
      </c>
      <c r="G1172" s="3">
        <f t="shared" ca="1" si="114"/>
        <v>1.7409245990222977</v>
      </c>
      <c r="H1172">
        <f t="shared" ca="1" si="112"/>
        <v>0.5040926334944259</v>
      </c>
      <c r="I1172">
        <f t="shared" ca="1" si="113"/>
        <v>0.2609747711492556</v>
      </c>
    </row>
    <row r="1173" spans="1:9" x14ac:dyDescent="0.3">
      <c r="A1173" s="1">
        <v>41879</v>
      </c>
      <c r="B1173" t="s">
        <v>0</v>
      </c>
      <c r="C1173">
        <v>567.64411010000003</v>
      </c>
      <c r="D1173" s="2">
        <f t="shared" si="109"/>
        <v>-3.1523151557152546E-3</v>
      </c>
      <c r="E1173" s="2">
        <f t="shared" ca="1" si="110"/>
        <v>0.92129803614090566</v>
      </c>
      <c r="F1173">
        <f t="shared" ca="1" si="111"/>
        <v>0.92734910879857124</v>
      </c>
      <c r="G1173" s="3">
        <f t="shared" ca="1" si="114"/>
        <v>1.7369424883863771</v>
      </c>
      <c r="H1173">
        <f t="shared" ca="1" si="112"/>
        <v>0.53389741744418973</v>
      </c>
      <c r="I1173">
        <f t="shared" ca="1" si="113"/>
        <v>0.15083881225930287</v>
      </c>
    </row>
    <row r="1174" spans="1:9" x14ac:dyDescent="0.3">
      <c r="A1174" s="1">
        <v>41880</v>
      </c>
      <c r="B1174" t="s">
        <v>0</v>
      </c>
      <c r="C1174">
        <v>570.03755390000003</v>
      </c>
      <c r="D1174" s="2">
        <f t="shared" si="109"/>
        <v>4.2164513951855409E-3</v>
      </c>
      <c r="E1174" s="2">
        <f t="shared" ca="1" si="110"/>
        <v>-1.3628374892856872</v>
      </c>
      <c r="F1174">
        <f t="shared" ca="1" si="111"/>
        <v>-1.3545052707999172</v>
      </c>
      <c r="G1174" s="3">
        <f t="shared" ca="1" si="114"/>
        <v>1.7332268493308713</v>
      </c>
      <c r="H1174">
        <f t="shared" ca="1" si="112"/>
        <v>-0.78149335808110565</v>
      </c>
      <c r="I1174">
        <f t="shared" ca="1" si="113"/>
        <v>-0.60688223792246554</v>
      </c>
    </row>
    <row r="1175" spans="1:9" x14ac:dyDescent="0.3">
      <c r="A1175" s="1">
        <v>41884</v>
      </c>
      <c r="B1175" t="s">
        <v>0</v>
      </c>
      <c r="C1175">
        <v>575.75187419999997</v>
      </c>
      <c r="D1175" s="2">
        <f t="shared" si="109"/>
        <v>1.0024462881269023E-2</v>
      </c>
      <c r="E1175" s="2">
        <f t="shared" ca="1" si="110"/>
        <v>0.35619779261974011</v>
      </c>
      <c r="F1175">
        <f t="shared" ca="1" si="111"/>
        <v>0.35690352876950859</v>
      </c>
      <c r="G1175" s="3">
        <f t="shared" ca="1" si="114"/>
        <v>1.7318218915999768</v>
      </c>
      <c r="H1175">
        <f t="shared" ca="1" si="112"/>
        <v>0.20608558564863527</v>
      </c>
      <c r="I1175">
        <f t="shared" ca="1" si="113"/>
        <v>2.0597906250856104</v>
      </c>
    </row>
    <row r="1176" spans="1:9" x14ac:dyDescent="0.3">
      <c r="A1176" s="1">
        <v>41885</v>
      </c>
      <c r="B1176" t="s">
        <v>0</v>
      </c>
      <c r="C1176">
        <v>576.36021400000004</v>
      </c>
      <c r="D1176" s="2">
        <f t="shared" si="109"/>
        <v>1.056600642152225E-3</v>
      </c>
      <c r="E1176" s="2">
        <f t="shared" ca="1" si="110"/>
        <v>-3.8803541958077932</v>
      </c>
      <c r="F1176">
        <f t="shared" ca="1" si="111"/>
        <v>-3.8859687145590027</v>
      </c>
      <c r="G1176" s="3">
        <f t="shared" ca="1" si="114"/>
        <v>1.7264859960115384</v>
      </c>
      <c r="H1176">
        <f t="shared" ca="1" si="112"/>
        <v>-2.2507965448525029</v>
      </c>
      <c r="I1176">
        <f t="shared" ca="1" si="113"/>
        <v>-2.7147446741595247</v>
      </c>
    </row>
    <row r="1177" spans="1:9" x14ac:dyDescent="0.3">
      <c r="A1177" s="1">
        <v>41886</v>
      </c>
      <c r="B1177" t="s">
        <v>0</v>
      </c>
      <c r="C1177">
        <v>580.38916259999996</v>
      </c>
      <c r="D1177" s="2">
        <f t="shared" si="109"/>
        <v>6.9903308766554127E-3</v>
      </c>
      <c r="E1177" s="2">
        <f t="shared" ca="1" si="110"/>
        <v>-1.7004654748062271</v>
      </c>
      <c r="F1177">
        <f t="shared" ca="1" si="111"/>
        <v>-1.7070227165346918</v>
      </c>
      <c r="G1177" s="3">
        <f t="shared" ca="1" si="114"/>
        <v>1.7559430518421633</v>
      </c>
      <c r="H1177">
        <f t="shared" ca="1" si="112"/>
        <v>-0.97214013560624934</v>
      </c>
      <c r="I1177">
        <f t="shared" ca="1" si="113"/>
        <v>-1.0695182725627497</v>
      </c>
    </row>
    <row r="1178" spans="1:9" x14ac:dyDescent="0.3">
      <c r="A1178" s="1">
        <v>41887</v>
      </c>
      <c r="B1178" t="s">
        <v>0</v>
      </c>
      <c r="C1178">
        <v>584.47798769999997</v>
      </c>
      <c r="D1178" s="2">
        <f t="shared" si="109"/>
        <v>7.0449714837594185E-3</v>
      </c>
      <c r="E1178" s="2">
        <f t="shared" ca="1" si="110"/>
        <v>-0.12882073772714142</v>
      </c>
      <c r="F1178">
        <f t="shared" ca="1" si="111"/>
        <v>-0.13156295454330377</v>
      </c>
      <c r="G1178" s="3">
        <f t="shared" ca="1" si="114"/>
        <v>1.7565000069599714</v>
      </c>
      <c r="H1178">
        <f t="shared" ca="1" si="112"/>
        <v>-7.4900628535153738E-2</v>
      </c>
      <c r="I1178">
        <f t="shared" ca="1" si="113"/>
        <v>4.0536721807430576</v>
      </c>
    </row>
    <row r="1179" spans="1:9" x14ac:dyDescent="0.3">
      <c r="A1179" s="1">
        <v>41890</v>
      </c>
      <c r="B1179" t="s">
        <v>0</v>
      </c>
      <c r="C1179">
        <v>588.10800849999998</v>
      </c>
      <c r="D1179" s="2">
        <f t="shared" si="109"/>
        <v>6.2107057517848266E-3</v>
      </c>
      <c r="E1179" s="2">
        <f t="shared" ca="1" si="110"/>
        <v>-0.50747825501011501</v>
      </c>
      <c r="F1179">
        <f t="shared" ca="1" si="111"/>
        <v>-0.51393167798910566</v>
      </c>
      <c r="G1179" s="3">
        <f t="shared" ca="1" si="114"/>
        <v>1.750610482864579</v>
      </c>
      <c r="H1179">
        <f t="shared" ca="1" si="112"/>
        <v>-0.29357283246021876</v>
      </c>
      <c r="I1179">
        <f t="shared" ca="1" si="113"/>
        <v>1.3311838493568919</v>
      </c>
    </row>
    <row r="1180" spans="1:9" x14ac:dyDescent="0.3">
      <c r="A1180" s="1">
        <v>41891</v>
      </c>
      <c r="B1180" t="s">
        <v>0</v>
      </c>
      <c r="C1180">
        <v>579.42181240000002</v>
      </c>
      <c r="D1180" s="2">
        <f t="shared" si="109"/>
        <v>-1.4769729326003492E-2</v>
      </c>
      <c r="E1180" s="2">
        <f t="shared" ca="1" si="110"/>
        <v>-1.0335301331033613</v>
      </c>
      <c r="F1180">
        <f t="shared" ca="1" si="111"/>
        <v>-1.0397688313984388</v>
      </c>
      <c r="G1180" s="3">
        <f t="shared" ca="1" si="114"/>
        <v>1.7453464986847724</v>
      </c>
      <c r="H1180">
        <f t="shared" ca="1" si="112"/>
        <v>-0.59573777022612384</v>
      </c>
      <c r="I1180">
        <f t="shared" ca="1" si="113"/>
        <v>-7.8198598806586167E-2</v>
      </c>
    </row>
    <row r="1181" spans="1:9" x14ac:dyDescent="0.3">
      <c r="A1181" s="1">
        <v>41892</v>
      </c>
      <c r="B1181" t="s">
        <v>0</v>
      </c>
      <c r="C1181">
        <v>581.50611100000003</v>
      </c>
      <c r="D1181" s="2">
        <f t="shared" si="109"/>
        <v>3.5972042394585057E-3</v>
      </c>
      <c r="E1181" s="2">
        <f t="shared" ca="1" si="110"/>
        <v>-1.2776496104507131</v>
      </c>
      <c r="F1181">
        <f t="shared" ca="1" si="111"/>
        <v>-1.2771131735613794</v>
      </c>
      <c r="G1181" s="3">
        <f t="shared" ca="1" si="114"/>
        <v>1.7420023768967552</v>
      </c>
      <c r="H1181">
        <f t="shared" ca="1" si="112"/>
        <v>-0.73312940929303405</v>
      </c>
      <c r="I1181">
        <f t="shared" ca="1" si="113"/>
        <v>-0.48921232898475397</v>
      </c>
    </row>
    <row r="1182" spans="1:9" x14ac:dyDescent="0.3">
      <c r="A1182" s="1">
        <v>41893</v>
      </c>
      <c r="B1182" t="s">
        <v>0</v>
      </c>
      <c r="C1182">
        <v>579.76092540000002</v>
      </c>
      <c r="D1182" s="2">
        <f t="shared" si="109"/>
        <v>-3.0011474806324319E-3</v>
      </c>
      <c r="E1182" s="2">
        <f t="shared" ca="1" si="110"/>
        <v>-1.3823724616668565</v>
      </c>
      <c r="F1182">
        <f t="shared" ca="1" si="111"/>
        <v>-1.3742479619762951</v>
      </c>
      <c r="G1182" s="3">
        <f t="shared" ca="1" si="114"/>
        <v>1.7399646620936913</v>
      </c>
      <c r="H1182">
        <f t="shared" ca="1" si="112"/>
        <v>-0.78981371973535885</v>
      </c>
      <c r="I1182">
        <f t="shared" ca="1" si="113"/>
        <v>-0.63581805868745123</v>
      </c>
    </row>
    <row r="1183" spans="1:9" x14ac:dyDescent="0.3">
      <c r="A1183" s="1">
        <v>41894</v>
      </c>
      <c r="B1183" t="s">
        <v>0</v>
      </c>
      <c r="C1183">
        <v>574.04654419999997</v>
      </c>
      <c r="D1183" s="2">
        <f t="shared" si="109"/>
        <v>-9.8564441818107529E-3</v>
      </c>
      <c r="E1183" s="2">
        <f t="shared" ca="1" si="110"/>
        <v>-0.24765907053265862</v>
      </c>
      <c r="F1183">
        <f t="shared" ca="1" si="111"/>
        <v>-0.24900419927281839</v>
      </c>
      <c r="G1183" s="3">
        <f t="shared" ca="1" si="114"/>
        <v>1.7385526417056707</v>
      </c>
      <c r="H1183">
        <f t="shared" ca="1" si="112"/>
        <v>-0.14322499836905928</v>
      </c>
      <c r="I1183">
        <f t="shared" ca="1" si="113"/>
        <v>2.7790041870529381</v>
      </c>
    </row>
    <row r="1184" spans="1:9" x14ac:dyDescent="0.3">
      <c r="A1184" s="1">
        <v>41897</v>
      </c>
      <c r="B1184" t="s">
        <v>0</v>
      </c>
      <c r="C1184">
        <v>571.5334709</v>
      </c>
      <c r="D1184" s="2">
        <f t="shared" si="109"/>
        <v>-4.3778214944264334E-3</v>
      </c>
      <c r="E1184" s="2">
        <f t="shared" ca="1" si="110"/>
        <v>1.4692391550576769</v>
      </c>
      <c r="F1184">
        <f t="shared" ca="1" si="111"/>
        <v>1.4740468107050317</v>
      </c>
      <c r="G1184" s="3">
        <f t="shared" ca="1" si="114"/>
        <v>1.7329821786281501</v>
      </c>
      <c r="H1184">
        <f t="shared" ca="1" si="112"/>
        <v>0.8505839407257525</v>
      </c>
      <c r="I1184">
        <f t="shared" ca="1" si="113"/>
        <v>-0.77603192223630857</v>
      </c>
    </row>
    <row r="1185" spans="1:9" x14ac:dyDescent="0.3">
      <c r="A1185" s="1">
        <v>41898</v>
      </c>
      <c r="B1185" t="s">
        <v>0</v>
      </c>
      <c r="C1185">
        <v>578.36473960000001</v>
      </c>
      <c r="D1185" s="2">
        <f t="shared" si="109"/>
        <v>1.1952526051086276E-2</v>
      </c>
      <c r="E1185" s="2">
        <f t="shared" ca="1" si="110"/>
        <v>2.1388463691770392</v>
      </c>
      <c r="F1185">
        <f t="shared" ca="1" si="111"/>
        <v>2.1462892594948109</v>
      </c>
      <c r="G1185" s="3">
        <f t="shared" ca="1" si="114"/>
        <v>1.7323632420416428</v>
      </c>
      <c r="H1185">
        <f t="shared" ca="1" si="112"/>
        <v>1.2389371971234759</v>
      </c>
      <c r="I1185">
        <f t="shared" ca="1" si="113"/>
        <v>-1.5275118633313045</v>
      </c>
    </row>
    <row r="1186" spans="1:9" x14ac:dyDescent="0.3">
      <c r="A1186" s="1">
        <v>41899</v>
      </c>
      <c r="B1186" t="s">
        <v>0</v>
      </c>
      <c r="C1186">
        <v>583.1715246</v>
      </c>
      <c r="D1186" s="2">
        <f t="shared" si="109"/>
        <v>8.310992477384406E-3</v>
      </c>
      <c r="E1186" s="2">
        <f t="shared" ca="1" si="110"/>
        <v>1.0528729243686981</v>
      </c>
      <c r="F1186">
        <f t="shared" ca="1" si="111"/>
        <v>1.0520351491606301</v>
      </c>
      <c r="G1186" s="3">
        <f t="shared" ca="1" si="114"/>
        <v>1.7373761294042982</v>
      </c>
      <c r="H1186">
        <f t="shared" ca="1" si="112"/>
        <v>0.60553102540976322</v>
      </c>
      <c r="I1186">
        <f t="shared" ca="1" si="113"/>
        <v>-0.1015154597344276</v>
      </c>
    </row>
    <row r="1187" spans="1:9" x14ac:dyDescent="0.3">
      <c r="A1187" s="1">
        <v>41900</v>
      </c>
      <c r="B1187" t="s">
        <v>0</v>
      </c>
      <c r="C1187">
        <v>587.65927650000003</v>
      </c>
      <c r="D1187" s="2">
        <f t="shared" si="109"/>
        <v>7.6954235772712055E-3</v>
      </c>
      <c r="E1187" s="2">
        <f t="shared" ca="1" si="110"/>
        <v>0.93497535983899183</v>
      </c>
      <c r="F1187">
        <f t="shared" ca="1" si="111"/>
        <v>0.92505451060415933</v>
      </c>
      <c r="G1187" s="3">
        <f t="shared" ca="1" si="114"/>
        <v>1.7342205247951872</v>
      </c>
      <c r="H1187">
        <f t="shared" ca="1" si="112"/>
        <v>0.53341227218690024</v>
      </c>
      <c r="I1187">
        <f t="shared" ca="1" si="113"/>
        <v>0.15573602177197851</v>
      </c>
    </row>
    <row r="1188" spans="1:9" x14ac:dyDescent="0.3">
      <c r="A1188" s="1">
        <v>41901</v>
      </c>
      <c r="B1188" t="s">
        <v>0</v>
      </c>
      <c r="C1188">
        <v>594.45062780000001</v>
      </c>
      <c r="D1188" s="2">
        <f t="shared" si="109"/>
        <v>1.1556613792346003E-2</v>
      </c>
      <c r="E1188" s="2">
        <f t="shared" ca="1" si="110"/>
        <v>0.88841685601421339</v>
      </c>
      <c r="F1188">
        <f t="shared" ca="1" si="111"/>
        <v>0.88094711908262913</v>
      </c>
      <c r="G1188" s="3">
        <f t="shared" ca="1" si="114"/>
        <v>1.7305371782169223</v>
      </c>
      <c r="H1188">
        <f t="shared" ca="1" si="112"/>
        <v>0.50905992091445418</v>
      </c>
      <c r="I1188">
        <f t="shared" ca="1" si="113"/>
        <v>0.25334326484807662</v>
      </c>
    </row>
    <row r="1189" spans="1:9" x14ac:dyDescent="0.3">
      <c r="A1189" s="1">
        <v>41904</v>
      </c>
      <c r="B1189" t="s">
        <v>0</v>
      </c>
      <c r="C1189">
        <v>585.76443180000001</v>
      </c>
      <c r="D1189" s="2">
        <f t="shared" si="109"/>
        <v>-1.461214034233037E-2</v>
      </c>
      <c r="E1189" s="2">
        <f t="shared" ca="1" si="110"/>
        <v>0.78215227212713823</v>
      </c>
      <c r="F1189">
        <f t="shared" ca="1" si="111"/>
        <v>0.77391457443530731</v>
      </c>
      <c r="G1189" s="3">
        <f t="shared" ca="1" si="114"/>
        <v>1.726725772772975</v>
      </c>
      <c r="H1189">
        <f t="shared" ca="1" si="112"/>
        <v>0.44819773159027226</v>
      </c>
      <c r="I1189">
        <f t="shared" ca="1" si="113"/>
        <v>0.51223107556632941</v>
      </c>
    </row>
    <row r="1190" spans="1:9" x14ac:dyDescent="0.3">
      <c r="A1190" s="1">
        <v>41905</v>
      </c>
      <c r="B1190" t="s">
        <v>0</v>
      </c>
      <c r="C1190">
        <v>579.54150279999999</v>
      </c>
      <c r="D1190" s="2">
        <f t="shared" si="109"/>
        <v>-1.0623603384175334E-2</v>
      </c>
      <c r="E1190" s="2">
        <f t="shared" ca="1" si="110"/>
        <v>-3.2809978182826396</v>
      </c>
      <c r="F1190">
        <f t="shared" ca="1" si="111"/>
        <v>-3.2838372482651792</v>
      </c>
      <c r="G1190" s="3">
        <f t="shared" ca="1" si="114"/>
        <v>1.7225579475436261</v>
      </c>
      <c r="H1190">
        <f t="shared" ca="1" si="112"/>
        <v>-1.9063725855771314</v>
      </c>
      <c r="I1190">
        <f t="shared" ca="1" si="113"/>
        <v>-2.3780357287302767</v>
      </c>
    </row>
    <row r="1191" spans="1:9" x14ac:dyDescent="0.3">
      <c r="A1191" s="1">
        <v>41906</v>
      </c>
      <c r="B1191" t="s">
        <v>0</v>
      </c>
      <c r="C1191">
        <v>586.38272019999999</v>
      </c>
      <c r="D1191" s="2">
        <f t="shared" si="109"/>
        <v>1.1804534044494329E-2</v>
      </c>
      <c r="E1191" s="2">
        <f t="shared" ca="1" si="110"/>
        <v>2.1936367526957341E-2</v>
      </c>
      <c r="F1191">
        <f t="shared" ca="1" si="111"/>
        <v>3.4202890448000782E-2</v>
      </c>
      <c r="G1191" s="3">
        <f t="shared" ca="1" si="114"/>
        <v>1.7422910413263888</v>
      </c>
      <c r="H1191">
        <f t="shared" ca="1" si="112"/>
        <v>1.9630985660101002E-2</v>
      </c>
      <c r="I1191">
        <f t="shared" ca="1" si="113"/>
        <v>6.6317737023280214</v>
      </c>
    </row>
    <row r="1192" spans="1:9" x14ac:dyDescent="0.3">
      <c r="A1192" s="1">
        <v>41907</v>
      </c>
      <c r="B1192" t="s">
        <v>0</v>
      </c>
      <c r="C1192">
        <v>573.48806950000005</v>
      </c>
      <c r="D1192" s="2">
        <f t="shared" si="109"/>
        <v>-2.1990161469290757E-2</v>
      </c>
      <c r="E1192" s="2">
        <f t="shared" ca="1" si="110"/>
        <v>1.2366639304332501</v>
      </c>
      <c r="F1192">
        <f t="shared" ca="1" si="111"/>
        <v>1.2397595090844025</v>
      </c>
      <c r="G1192" s="3">
        <f t="shared" ca="1" si="114"/>
        <v>1.7365359964202709</v>
      </c>
      <c r="H1192">
        <f t="shared" ca="1" si="112"/>
        <v>0.71392675512633585</v>
      </c>
      <c r="I1192">
        <f t="shared" ca="1" si="113"/>
        <v>-0.43014944986355885</v>
      </c>
    </row>
    <row r="1193" spans="1:9" x14ac:dyDescent="0.3">
      <c r="A1193" s="1">
        <v>41908</v>
      </c>
      <c r="B1193" t="s">
        <v>0</v>
      </c>
      <c r="C1193">
        <v>575.52250300000003</v>
      </c>
      <c r="D1193" s="2">
        <f t="shared" si="109"/>
        <v>3.5474731004843984E-3</v>
      </c>
      <c r="E1193" s="2">
        <f t="shared" ca="1" si="110"/>
        <v>1.976840159798223</v>
      </c>
      <c r="F1193">
        <f t="shared" ca="1" si="111"/>
        <v>1.9760462216131514</v>
      </c>
      <c r="G1193" s="3">
        <f t="shared" ca="1" si="114"/>
        <v>1.7343831097409654</v>
      </c>
      <c r="H1193">
        <f t="shared" ca="1" si="112"/>
        <v>1.1393366382057761</v>
      </c>
      <c r="I1193">
        <f t="shared" ca="1" si="113"/>
        <v>-1.3621992039926352</v>
      </c>
    </row>
    <row r="1194" spans="1:9" x14ac:dyDescent="0.3">
      <c r="A1194" s="1">
        <v>41911</v>
      </c>
      <c r="B1194" t="s">
        <v>0</v>
      </c>
      <c r="C1194">
        <v>574.7845231</v>
      </c>
      <c r="D1194" s="2">
        <f t="shared" si="109"/>
        <v>-1.282278097125991E-3</v>
      </c>
      <c r="E1194" s="2">
        <f t="shared" ca="1" si="110"/>
        <v>-4.4346661184565184</v>
      </c>
      <c r="F1194">
        <f t="shared" ca="1" si="111"/>
        <v>-4.4220306514073169</v>
      </c>
      <c r="G1194" s="3">
        <f t="shared" ca="1" si="114"/>
        <v>1.7377218672401353</v>
      </c>
      <c r="H1194">
        <f t="shared" ca="1" si="112"/>
        <v>-2.5447286673271963</v>
      </c>
      <c r="I1194">
        <f t="shared" ca="1" si="113"/>
        <v>-2.9731981120500919</v>
      </c>
    </row>
    <row r="1195" spans="1:9" x14ac:dyDescent="0.3">
      <c r="A1195" s="1">
        <v>41912</v>
      </c>
      <c r="B1195" t="s">
        <v>0</v>
      </c>
      <c r="C1195">
        <v>575.78178109999999</v>
      </c>
      <c r="D1195" s="2">
        <f t="shared" si="109"/>
        <v>1.735011921722337E-3</v>
      </c>
      <c r="E1195" s="2">
        <f t="shared" ca="1" si="110"/>
        <v>-2.9879319857209694</v>
      </c>
      <c r="F1195">
        <f t="shared" ca="1" si="111"/>
        <v>-2.989758654492114</v>
      </c>
      <c r="G1195" s="3">
        <f t="shared" ca="1" si="114"/>
        <v>1.7763856820589778</v>
      </c>
      <c r="H1195">
        <f t="shared" ca="1" si="112"/>
        <v>-1.6830571675328618</v>
      </c>
      <c r="I1195">
        <f t="shared" ca="1" si="113"/>
        <v>-2.1903856699366142</v>
      </c>
    </row>
    <row r="1196" spans="1:9" x14ac:dyDescent="0.3">
      <c r="A1196" s="1">
        <v>41913</v>
      </c>
      <c r="B1196" t="s">
        <v>0</v>
      </c>
      <c r="C1196">
        <v>566.71667639999998</v>
      </c>
      <c r="D1196" s="2">
        <f t="shared" si="109"/>
        <v>-1.5743993640579618E-2</v>
      </c>
      <c r="E1196" s="2">
        <f t="shared" ca="1" si="110"/>
        <v>1.5447046008582581</v>
      </c>
      <c r="F1196">
        <f t="shared" ca="1" si="111"/>
        <v>1.5449857506008706</v>
      </c>
      <c r="G1196" s="3">
        <f t="shared" ca="1" si="114"/>
        <v>1.7893494706731463</v>
      </c>
      <c r="H1196">
        <f t="shared" ca="1" si="112"/>
        <v>0.86343432399465991</v>
      </c>
      <c r="I1196">
        <f t="shared" ca="1" si="113"/>
        <v>-0.87013321865783422</v>
      </c>
    </row>
    <row r="1197" spans="1:9" x14ac:dyDescent="0.3">
      <c r="A1197" s="1">
        <v>41914</v>
      </c>
      <c r="B1197" t="s">
        <v>0</v>
      </c>
      <c r="C1197">
        <v>568.52167770000005</v>
      </c>
      <c r="D1197" s="2">
        <f t="shared" si="109"/>
        <v>3.1850153262934257E-3</v>
      </c>
      <c r="E1197" s="2">
        <f t="shared" ca="1" si="110"/>
        <v>-2.0293236915767841</v>
      </c>
      <c r="F1197">
        <f t="shared" ca="1" si="111"/>
        <v>-2.0257097629709238</v>
      </c>
      <c r="G1197" s="3">
        <f t="shared" ca="1" si="114"/>
        <v>1.7880494791215613</v>
      </c>
      <c r="H1197">
        <f t="shared" ca="1" si="112"/>
        <v>-1.1329159436718277</v>
      </c>
      <c r="I1197">
        <f t="shared" ca="1" si="113"/>
        <v>-1.4118427508750635</v>
      </c>
    </row>
    <row r="1198" spans="1:9" x14ac:dyDescent="0.3">
      <c r="A1198" s="1">
        <v>41915</v>
      </c>
      <c r="B1198" t="s">
        <v>0</v>
      </c>
      <c r="C1198">
        <v>573.70749209999997</v>
      </c>
      <c r="D1198" s="2">
        <f t="shared" si="109"/>
        <v>9.1215772474666935E-3</v>
      </c>
      <c r="E1198" s="2">
        <f t="shared" ca="1" si="110"/>
        <v>-4.1043639120501769</v>
      </c>
      <c r="F1198">
        <f t="shared" ca="1" si="111"/>
        <v>-4.0955098406993429</v>
      </c>
      <c r="G1198" s="3">
        <f t="shared" ca="1" si="114"/>
        <v>1.7903834576951354</v>
      </c>
      <c r="H1198">
        <f t="shared" ca="1" si="112"/>
        <v>-2.2875042902662486</v>
      </c>
      <c r="I1198">
        <f t="shared" ca="1" si="113"/>
        <v>-2.8197873860394944</v>
      </c>
    </row>
    <row r="1199" spans="1:9" x14ac:dyDescent="0.3">
      <c r="A1199" s="1">
        <v>41918</v>
      </c>
      <c r="B1199" t="s">
        <v>0</v>
      </c>
      <c r="C1199">
        <v>575.77183239999999</v>
      </c>
      <c r="D1199" s="2">
        <f t="shared" si="109"/>
        <v>3.5982453226185195E-3</v>
      </c>
      <c r="E1199" s="2">
        <f t="shared" ca="1" si="110"/>
        <v>-0.69659593960333055</v>
      </c>
      <c r="F1199">
        <f t="shared" ca="1" si="111"/>
        <v>-0.7012989772277628</v>
      </c>
      <c r="G1199" s="3">
        <f t="shared" ca="1" si="114"/>
        <v>1.8189623577434522</v>
      </c>
      <c r="H1199">
        <f t="shared" ca="1" si="112"/>
        <v>-0.3855489225724123</v>
      </c>
      <c r="I1199">
        <f t="shared" ca="1" si="113"/>
        <v>0.7096156382611235</v>
      </c>
    </row>
    <row r="1200" spans="1:9" x14ac:dyDescent="0.3">
      <c r="A1200" s="1">
        <v>41919</v>
      </c>
      <c r="B1200" t="s">
        <v>0</v>
      </c>
      <c r="C1200">
        <v>562.19901660000005</v>
      </c>
      <c r="D1200" s="2">
        <f t="shared" si="109"/>
        <v>-2.3573254258417147E-2</v>
      </c>
      <c r="E1200" s="2">
        <f t="shared" ca="1" si="110"/>
        <v>-0.89606085916464684</v>
      </c>
      <c r="F1200">
        <f t="shared" ca="1" si="111"/>
        <v>-0.90281370759642809</v>
      </c>
      <c r="G1200" s="3">
        <f t="shared" ca="1" si="114"/>
        <v>1.8132823653316164</v>
      </c>
      <c r="H1200">
        <f t="shared" ca="1" si="112"/>
        <v>-0.49788920074305132</v>
      </c>
      <c r="I1200">
        <f t="shared" ca="1" si="113"/>
        <v>0.20379632375709764</v>
      </c>
    </row>
    <row r="1201" spans="1:9" x14ac:dyDescent="0.3">
      <c r="A1201" s="1">
        <v>41920</v>
      </c>
      <c r="B1201" t="s">
        <v>0</v>
      </c>
      <c r="C1201">
        <v>570.93507969999996</v>
      </c>
      <c r="D1201" s="2">
        <f t="shared" si="109"/>
        <v>1.5539093527471513E-2</v>
      </c>
      <c r="E1201" s="2">
        <f t="shared" ca="1" si="110"/>
        <v>0.93500229738918206</v>
      </c>
      <c r="F1201">
        <f t="shared" ca="1" si="111"/>
        <v>0.9397904116506095</v>
      </c>
      <c r="G1201" s="3">
        <f t="shared" ca="1" si="114"/>
        <v>1.8083314925301186</v>
      </c>
      <c r="H1201">
        <f t="shared" ca="1" si="112"/>
        <v>0.51970029584327271</v>
      </c>
      <c r="I1201">
        <f t="shared" ca="1" si="113"/>
        <v>0.12392339558754914</v>
      </c>
    </row>
    <row r="1202" spans="1:9" x14ac:dyDescent="0.3">
      <c r="A1202" s="1">
        <v>41921</v>
      </c>
      <c r="B1202" t="s">
        <v>0</v>
      </c>
      <c r="C1202">
        <v>559.34683129999996</v>
      </c>
      <c r="D1202" s="2">
        <f t="shared" si="109"/>
        <v>-2.0296963371192901E-2</v>
      </c>
      <c r="E1202" s="2">
        <f t="shared" ca="1" si="110"/>
        <v>-3.2341437710790828</v>
      </c>
      <c r="F1202">
        <f t="shared" ca="1" si="111"/>
        <v>-3.2240980041655543</v>
      </c>
      <c r="G1202" s="3">
        <f t="shared" ca="1" si="114"/>
        <v>1.8035909285347689</v>
      </c>
      <c r="H1202">
        <f t="shared" ca="1" si="112"/>
        <v>-1.7875993681032762</v>
      </c>
      <c r="I1202">
        <f t="shared" ca="1" si="113"/>
        <v>-2.3413460769640233</v>
      </c>
    </row>
    <row r="1203" spans="1:9" x14ac:dyDescent="0.3">
      <c r="A1203" s="1">
        <v>41922</v>
      </c>
      <c r="B1203" t="s">
        <v>0</v>
      </c>
      <c r="C1203">
        <v>543.00166490000004</v>
      </c>
      <c r="D1203" s="2">
        <f t="shared" si="109"/>
        <v>-2.9221880746175825E-2</v>
      </c>
      <c r="E1203" s="2">
        <f t="shared" ca="1" si="110"/>
        <v>-1.9289193240140725</v>
      </c>
      <c r="F1203">
        <f t="shared" ca="1" si="111"/>
        <v>-1.9325436132134766</v>
      </c>
      <c r="G1203" s="3">
        <f t="shared" ca="1" si="114"/>
        <v>1.8183503990368326</v>
      </c>
      <c r="H1203">
        <f t="shared" ca="1" si="112"/>
        <v>-1.0628004449731643</v>
      </c>
      <c r="I1203">
        <f t="shared" ca="1" si="113"/>
        <v>-1.3179027819227678</v>
      </c>
    </row>
    <row r="1204" spans="1:9" x14ac:dyDescent="0.3">
      <c r="A1204" s="1">
        <v>41925</v>
      </c>
      <c r="B1204" t="s">
        <v>0</v>
      </c>
      <c r="C1204">
        <v>531.75246760000005</v>
      </c>
      <c r="D1204" s="2">
        <f t="shared" si="109"/>
        <v>-2.0716690255584501E-2</v>
      </c>
      <c r="E1204" s="2">
        <f t="shared" ca="1" si="110"/>
        <v>-2.446043421281709</v>
      </c>
      <c r="F1204">
        <f t="shared" ca="1" si="111"/>
        <v>-2.4246916142702295</v>
      </c>
      <c r="G1204" s="3">
        <f t="shared" ca="1" si="114"/>
        <v>1.8191698676894832</v>
      </c>
      <c r="H1204">
        <f t="shared" ca="1" si="112"/>
        <v>-1.3328560775634526</v>
      </c>
      <c r="I1204">
        <f t="shared" ca="1" si="113"/>
        <v>-1.7714816946769372</v>
      </c>
    </row>
    <row r="1205" spans="1:9" x14ac:dyDescent="0.3">
      <c r="A1205" s="1">
        <v>41926</v>
      </c>
      <c r="B1205" t="s">
        <v>0</v>
      </c>
      <c r="C1205">
        <v>536.4695309</v>
      </c>
      <c r="D1205" s="2">
        <f t="shared" si="109"/>
        <v>8.8707877958514036E-3</v>
      </c>
      <c r="E1205" s="2">
        <f t="shared" ca="1" si="110"/>
        <v>-1.7563537971884928</v>
      </c>
      <c r="F1205">
        <f t="shared" ca="1" si="111"/>
        <v>-1.7319804274699282</v>
      </c>
      <c r="G1205" s="3">
        <f t="shared" ca="1" si="114"/>
        <v>1.8242437712259503</v>
      </c>
      <c r="H1205">
        <f t="shared" ca="1" si="112"/>
        <v>-0.94942378578383846</v>
      </c>
      <c r="I1205">
        <f t="shared" ca="1" si="113"/>
        <v>-1.0985572515026492</v>
      </c>
    </row>
    <row r="1206" spans="1:9" x14ac:dyDescent="0.3">
      <c r="A1206" s="1">
        <v>41927</v>
      </c>
      <c r="B1206" t="s">
        <v>0</v>
      </c>
      <c r="C1206">
        <v>528.58118930000001</v>
      </c>
      <c r="D1206" s="2">
        <f t="shared" si="109"/>
        <v>-1.4704174506921637E-2</v>
      </c>
      <c r="E1206" s="2">
        <f t="shared" ca="1" si="110"/>
        <v>0.31944403928957632</v>
      </c>
      <c r="F1206">
        <f t="shared" ca="1" si="111"/>
        <v>0.32969929154799116</v>
      </c>
      <c r="G1206" s="3">
        <f t="shared" ca="1" si="114"/>
        <v>1.8234676271896755</v>
      </c>
      <c r="H1206">
        <f t="shared" ca="1" si="112"/>
        <v>0.18080896344517122</v>
      </c>
      <c r="I1206">
        <f t="shared" ca="1" si="113"/>
        <v>2.2171595073467669</v>
      </c>
    </row>
    <row r="1207" spans="1:9" x14ac:dyDescent="0.3">
      <c r="A1207" s="1">
        <v>41928</v>
      </c>
      <c r="B1207" t="s">
        <v>0</v>
      </c>
      <c r="C1207">
        <v>523.07628109999996</v>
      </c>
      <c r="D1207" s="2">
        <f t="shared" si="109"/>
        <v>-1.0414498872519839E-2</v>
      </c>
      <c r="E1207" s="2">
        <f t="shared" ca="1" si="110"/>
        <v>-1.7132125337736983</v>
      </c>
      <c r="F1207">
        <f t="shared" ca="1" si="111"/>
        <v>-1.7143520673703601</v>
      </c>
      <c r="G1207" s="3">
        <f t="shared" ca="1" si="114"/>
        <v>1.8169658635953707</v>
      </c>
      <c r="H1207">
        <f t="shared" ca="1" si="112"/>
        <v>-0.94352464276793802</v>
      </c>
      <c r="I1207">
        <f t="shared" ca="1" si="113"/>
        <v>-1.0781073161782353</v>
      </c>
    </row>
    <row r="1208" spans="1:9" x14ac:dyDescent="0.3">
      <c r="A1208" s="1">
        <v>41929</v>
      </c>
      <c r="B1208" t="s">
        <v>0</v>
      </c>
      <c r="C1208">
        <v>509.77272399999998</v>
      </c>
      <c r="D1208" s="2">
        <f t="shared" si="109"/>
        <v>-2.5433302140986675E-2</v>
      </c>
      <c r="E1208" s="2">
        <f t="shared" ca="1" si="110"/>
        <v>-1.0394187503490893</v>
      </c>
      <c r="F1208">
        <f t="shared" ca="1" si="111"/>
        <v>-1.0271572657965189</v>
      </c>
      <c r="G1208" s="3">
        <f t="shared" ca="1" si="114"/>
        <v>1.816224243037202</v>
      </c>
      <c r="H1208">
        <f t="shared" ca="1" si="112"/>
        <v>-0.5655453998779596</v>
      </c>
      <c r="I1208">
        <f t="shared" ca="1" si="113"/>
        <v>-5.4203201374886344E-2</v>
      </c>
    </row>
    <row r="1209" spans="1:9" x14ac:dyDescent="0.3">
      <c r="A1209" s="1">
        <v>41932</v>
      </c>
      <c r="B1209" t="s">
        <v>0</v>
      </c>
      <c r="C1209">
        <v>519.41629160000002</v>
      </c>
      <c r="D1209" s="2">
        <f t="shared" si="109"/>
        <v>1.8917386407673001E-2</v>
      </c>
      <c r="E1209" s="2">
        <f t="shared" ca="1" si="110"/>
        <v>-1.6731402223471417</v>
      </c>
      <c r="F1209">
        <f t="shared" ca="1" si="111"/>
        <v>-1.6590718165531515</v>
      </c>
      <c r="G1209" s="3">
        <f t="shared" ca="1" si="114"/>
        <v>1.8117137030431645</v>
      </c>
      <c r="H1209">
        <f t="shared" ca="1" si="112"/>
        <v>-0.91574723631354227</v>
      </c>
      <c r="I1209">
        <f t="shared" ca="1" si="113"/>
        <v>-1.0126466131981884</v>
      </c>
    </row>
    <row r="1210" spans="1:9" x14ac:dyDescent="0.3">
      <c r="A1210" s="1">
        <v>41933</v>
      </c>
      <c r="B1210" t="s">
        <v>0</v>
      </c>
      <c r="C1210">
        <v>525.10070499999995</v>
      </c>
      <c r="D1210" s="2">
        <f t="shared" si="109"/>
        <v>1.0943848877919804E-2</v>
      </c>
      <c r="E1210" s="2">
        <f t="shared" ca="1" si="110"/>
        <v>-0.43131085877021713</v>
      </c>
      <c r="F1210">
        <f t="shared" ca="1" si="111"/>
        <v>-0.4211141363675906</v>
      </c>
      <c r="G1210" s="3">
        <f t="shared" ca="1" si="114"/>
        <v>1.810707604532926</v>
      </c>
      <c r="H1210">
        <f t="shared" ca="1" si="112"/>
        <v>-0.23256882299128437</v>
      </c>
      <c r="I1210">
        <f t="shared" ca="1" si="113"/>
        <v>1.7290273804780323</v>
      </c>
    </row>
    <row r="1211" spans="1:9" x14ac:dyDescent="0.3">
      <c r="A1211" s="1">
        <v>41934</v>
      </c>
      <c r="B1211" t="s">
        <v>0</v>
      </c>
      <c r="C1211">
        <v>531.25386949999995</v>
      </c>
      <c r="D1211" s="2">
        <f t="shared" si="109"/>
        <v>1.1718065585152858E-2</v>
      </c>
      <c r="E1211" s="2">
        <f t="shared" ca="1" si="110"/>
        <v>-1.8325266956243456</v>
      </c>
      <c r="F1211">
        <f t="shared" ca="1" si="111"/>
        <v>-1.8475695671918446</v>
      </c>
      <c r="G1211" s="3">
        <f t="shared" ca="1" si="114"/>
        <v>1.8044988226578234</v>
      </c>
      <c r="H1211">
        <f t="shared" ca="1" si="112"/>
        <v>-1.023868535680496</v>
      </c>
      <c r="I1211">
        <f t="shared" ca="1" si="113"/>
        <v>-1.2277822821220894</v>
      </c>
    </row>
    <row r="1212" spans="1:9" x14ac:dyDescent="0.3">
      <c r="A1212" s="1">
        <v>41935</v>
      </c>
      <c r="B1212" t="s">
        <v>0</v>
      </c>
      <c r="C1212">
        <v>542.49305630000003</v>
      </c>
      <c r="D1212" s="2">
        <f t="shared" si="109"/>
        <v>2.1155962234360882E-2</v>
      </c>
      <c r="E1212" s="2">
        <f t="shared" ca="1" si="110"/>
        <v>1.5104619965889228</v>
      </c>
      <c r="F1212">
        <f t="shared" ca="1" si="111"/>
        <v>1.5001533758446826</v>
      </c>
      <c r="G1212" s="3">
        <f t="shared" ca="1" si="114"/>
        <v>1.8049961924743461</v>
      </c>
      <c r="H1212">
        <f t="shared" ca="1" si="112"/>
        <v>0.83111165668899534</v>
      </c>
      <c r="I1212">
        <f t="shared" ca="1" si="113"/>
        <v>-0.81133358832035618</v>
      </c>
    </row>
    <row r="1213" spans="1:9" x14ac:dyDescent="0.3">
      <c r="A1213" s="1">
        <v>41936</v>
      </c>
      <c r="B1213" t="s">
        <v>0</v>
      </c>
      <c r="C1213">
        <v>538.30449999999996</v>
      </c>
      <c r="D1213" s="2">
        <f t="shared" si="109"/>
        <v>-7.7209399297523736E-3</v>
      </c>
      <c r="E1213" s="2">
        <f t="shared" ca="1" si="110"/>
        <v>-0.38963687934815716</v>
      </c>
      <c r="F1213">
        <f t="shared" ca="1" si="111"/>
        <v>-0.4032416568916698</v>
      </c>
      <c r="G1213" s="3">
        <f t="shared" ca="1" si="114"/>
        <v>1.8031040871472088</v>
      </c>
      <c r="H1213">
        <f t="shared" ca="1" si="112"/>
        <v>-0.22363748147765602</v>
      </c>
      <c r="I1213">
        <f t="shared" ca="1" si="113"/>
        <v>1.8160718892768228</v>
      </c>
    </row>
    <row r="1214" spans="1:9" x14ac:dyDescent="0.3">
      <c r="A1214" s="1">
        <v>41939</v>
      </c>
      <c r="B1214" t="s">
        <v>0</v>
      </c>
      <c r="C1214">
        <v>539.29180929999995</v>
      </c>
      <c r="D1214" s="2">
        <f t="shared" si="109"/>
        <v>1.8341093191678551E-3</v>
      </c>
      <c r="E1214" s="2">
        <f t="shared" ca="1" si="110"/>
        <v>-0.96482232741354523</v>
      </c>
      <c r="F1214">
        <f t="shared" ca="1" si="111"/>
        <v>-0.97569395777811319</v>
      </c>
      <c r="G1214" s="3">
        <f t="shared" ca="1" si="114"/>
        <v>1.7969586636863577</v>
      </c>
      <c r="H1214">
        <f t="shared" ca="1" si="112"/>
        <v>-0.54296961721786796</v>
      </c>
      <c r="I1214">
        <f t="shared" ca="1" si="113"/>
        <v>4.9209085536696569E-2</v>
      </c>
    </row>
    <row r="1215" spans="1:9" x14ac:dyDescent="0.3">
      <c r="A1215" s="1">
        <v>41940</v>
      </c>
      <c r="B1215" t="s">
        <v>0</v>
      </c>
      <c r="C1215">
        <v>547.39957249999998</v>
      </c>
      <c r="D1215" s="2">
        <f t="shared" si="109"/>
        <v>1.5034092971899365E-2</v>
      </c>
      <c r="E1215" s="2">
        <f t="shared" ca="1" si="110"/>
        <v>3.8797956728130538</v>
      </c>
      <c r="F1215">
        <f t="shared" ca="1" si="111"/>
        <v>3.8840566085973594</v>
      </c>
      <c r="G1215" s="3">
        <f t="shared" ca="1" si="114"/>
        <v>1.7925286840059411</v>
      </c>
      <c r="H1215">
        <f t="shared" ca="1" si="112"/>
        <v>2.1668030437969192</v>
      </c>
      <c r="I1215">
        <f t="shared" ca="1" si="113"/>
        <v>-2.7137752327520088</v>
      </c>
    </row>
    <row r="1216" spans="1:9" x14ac:dyDescent="0.3">
      <c r="A1216" s="1">
        <v>41941</v>
      </c>
      <c r="B1216" t="s">
        <v>0</v>
      </c>
      <c r="C1216">
        <v>547.82840710000005</v>
      </c>
      <c r="D1216" s="2">
        <f t="shared" si="109"/>
        <v>7.8340324242776591E-4</v>
      </c>
      <c r="E1216" s="2">
        <f t="shared" ca="1" si="110"/>
        <v>1.6661786856949334</v>
      </c>
      <c r="F1216">
        <f t="shared" ca="1" si="111"/>
        <v>1.6605539449242677</v>
      </c>
      <c r="G1216" s="3">
        <f t="shared" ca="1" si="114"/>
        <v>1.8174898600310794</v>
      </c>
      <c r="H1216">
        <f t="shared" ca="1" si="112"/>
        <v>0.91365238477637056</v>
      </c>
      <c r="I1216">
        <f t="shared" ca="1" si="113"/>
        <v>-1.0143027194970589</v>
      </c>
    </row>
    <row r="1217" spans="1:9" x14ac:dyDescent="0.3">
      <c r="A1217" s="1">
        <v>41942</v>
      </c>
      <c r="B1217" t="s">
        <v>0</v>
      </c>
      <c r="C1217">
        <v>548.80576780000001</v>
      </c>
      <c r="D1217" s="2">
        <f t="shared" si="109"/>
        <v>1.7840635632126985E-3</v>
      </c>
      <c r="E1217" s="2">
        <f t="shared" ca="1" si="110"/>
        <v>0.45489367885225018</v>
      </c>
      <c r="F1217">
        <f t="shared" ca="1" si="111"/>
        <v>0.44529841503263995</v>
      </c>
      <c r="G1217" s="3">
        <f t="shared" ca="1" si="114"/>
        <v>1.8163733912489708</v>
      </c>
      <c r="H1217">
        <f t="shared" ca="1" si="112"/>
        <v>0.24515797092053015</v>
      </c>
      <c r="I1217">
        <f t="shared" ca="1" si="113"/>
        <v>1.6180052003706245</v>
      </c>
    </row>
    <row r="1218" spans="1:9" x14ac:dyDescent="0.3">
      <c r="A1218" s="1">
        <v>41943</v>
      </c>
      <c r="B1218" t="s">
        <v>0</v>
      </c>
      <c r="C1218">
        <v>557.55177960000003</v>
      </c>
      <c r="D1218" s="2">
        <f t="shared" si="109"/>
        <v>1.5936442933280736E-2</v>
      </c>
      <c r="E1218" s="2">
        <f t="shared" ca="1" si="110"/>
        <v>0.33630078266834595</v>
      </c>
      <c r="F1218">
        <f t="shared" ca="1" si="111"/>
        <v>0.33528101395799809</v>
      </c>
      <c r="G1218" s="3">
        <f t="shared" ca="1" si="114"/>
        <v>1.810137197740294</v>
      </c>
      <c r="H1218">
        <f t="shared" ca="1" si="112"/>
        <v>0.18522408929917028</v>
      </c>
      <c r="I1218">
        <f t="shared" ca="1" si="113"/>
        <v>2.1833132493471643</v>
      </c>
    </row>
    <row r="1219" spans="1:9" x14ac:dyDescent="0.3">
      <c r="A1219" s="1">
        <v>41946</v>
      </c>
      <c r="B1219" t="s">
        <v>0</v>
      </c>
      <c r="C1219">
        <v>553.70233519999999</v>
      </c>
      <c r="D1219" s="2">
        <f t="shared" si="109"/>
        <v>-6.9041917555383199E-3</v>
      </c>
      <c r="E1219" s="2">
        <f t="shared" ca="1" si="110"/>
        <v>9.3363045966510752E-2</v>
      </c>
      <c r="F1219">
        <f t="shared" ca="1" si="111"/>
        <v>8.7500418949038816E-2</v>
      </c>
      <c r="G1219" s="3">
        <f t="shared" ca="1" si="114"/>
        <v>1.8038034147047115</v>
      </c>
      <c r="H1219">
        <f t="shared" ca="1" si="112"/>
        <v>4.8508844276338683E-2</v>
      </c>
      <c r="I1219">
        <f t="shared" ca="1" si="113"/>
        <v>4.8659974482016581</v>
      </c>
    </row>
    <row r="1220" spans="1:9" x14ac:dyDescent="0.3">
      <c r="A1220" s="1">
        <v>41947</v>
      </c>
      <c r="B1220" t="s">
        <v>0</v>
      </c>
      <c r="C1220">
        <v>552.59533550000003</v>
      </c>
      <c r="D1220" s="2">
        <f t="shared" ref="D1220:D1283" si="115">(C1220-C1219)/C1219</f>
        <v>-1.9992686135233773E-3</v>
      </c>
      <c r="E1220" s="2">
        <f t="shared" ca="1" si="110"/>
        <v>-1.056346879454565</v>
      </c>
      <c r="F1220">
        <f t="shared" ca="1" si="111"/>
        <v>-1.0642118584658971</v>
      </c>
      <c r="G1220" s="3">
        <f t="shared" ca="1" si="114"/>
        <v>1.7973309835596214</v>
      </c>
      <c r="H1220">
        <f t="shared" ca="1" si="112"/>
        <v>-0.59210677844000725</v>
      </c>
      <c r="I1220">
        <f t="shared" ca="1" si="113"/>
        <v>-0.12447250167634381</v>
      </c>
    </row>
    <row r="1221" spans="1:9" x14ac:dyDescent="0.3">
      <c r="A1221" s="1">
        <v>41948</v>
      </c>
      <c r="B1221" t="s">
        <v>0</v>
      </c>
      <c r="C1221">
        <v>544.42775759999995</v>
      </c>
      <c r="D1221" s="2">
        <f t="shared" si="115"/>
        <v>-1.4780396024533729E-2</v>
      </c>
      <c r="E1221" s="2">
        <f t="shared" ca="1" si="110"/>
        <v>1.9805778303634267</v>
      </c>
      <c r="F1221">
        <f t="shared" ca="1" si="111"/>
        <v>1.9854731605769183</v>
      </c>
      <c r="G1221" s="3">
        <f t="shared" ca="1" si="114"/>
        <v>1.7932700597088502</v>
      </c>
      <c r="H1221">
        <f t="shared" ca="1" si="112"/>
        <v>1.1071802319051005</v>
      </c>
      <c r="I1221">
        <f t="shared" ca="1" si="113"/>
        <v>-1.3717699247045407</v>
      </c>
    </row>
    <row r="1222" spans="1:9" x14ac:dyDescent="0.3">
      <c r="A1222" s="1">
        <v>41949</v>
      </c>
      <c r="B1222" t="s">
        <v>0</v>
      </c>
      <c r="C1222">
        <v>540.55835500000001</v>
      </c>
      <c r="D1222" s="2">
        <f t="shared" si="115"/>
        <v>-7.1072838333178043E-3</v>
      </c>
      <c r="E1222" s="2">
        <f t="shared" ref="E1222:E1285" ca="1" si="116">$N$9*D1221+$N$10*D1220+F1222</f>
        <v>0.54417435351872701</v>
      </c>
      <c r="F1222">
        <f t="shared" ref="F1222:F1285" ca="1" si="117">G1222*H1222</f>
        <v>0.54982629477450451</v>
      </c>
      <c r="G1222" s="3">
        <f t="shared" ca="1" si="114"/>
        <v>1.795131728560496</v>
      </c>
      <c r="H1222">
        <f t="shared" ref="H1222:H1285" ca="1" si="118">_xlfn.NORM.S.INV(RAND())</f>
        <v>0.3062874361957863</v>
      </c>
      <c r="I1222">
        <f t="shared" ref="I1222:I1285" ca="1" si="119">-LN(F1222^2)-(D1222^2)/(F1222^2)</f>
        <v>1.1961386643944893</v>
      </c>
    </row>
    <row r="1223" spans="1:9" x14ac:dyDescent="0.3">
      <c r="A1223" s="1">
        <v>41950</v>
      </c>
      <c r="B1223" t="s">
        <v>0</v>
      </c>
      <c r="C1223">
        <v>539.5311901</v>
      </c>
      <c r="D1223" s="2">
        <f t="shared" si="115"/>
        <v>-1.9001924408327802E-3</v>
      </c>
      <c r="E1223" s="2">
        <f t="shared" ca="1" si="116"/>
        <v>3.5782246006334266</v>
      </c>
      <c r="F1223">
        <f t="shared" ca="1" si="117"/>
        <v>3.5895474508441203</v>
      </c>
      <c r="G1223" s="3">
        <f t="shared" ref="G1223:G1286" ca="1" si="120">SQRT($N$6+$N$7*(H1222^2)+$N$8*(G1222^2))</f>
        <v>1.7893756825545408</v>
      </c>
      <c r="H1223">
        <f t="shared" ca="1" si="118"/>
        <v>2.0060334371592812</v>
      </c>
      <c r="I1223">
        <f t="shared" ca="1" si="119"/>
        <v>-2.5560525528177136</v>
      </c>
    </row>
    <row r="1224" spans="1:9" x14ac:dyDescent="0.3">
      <c r="A1224" s="1">
        <v>41953</v>
      </c>
      <c r="B1224" t="s">
        <v>0</v>
      </c>
      <c r="C1224">
        <v>545.99343799999997</v>
      </c>
      <c r="D1224" s="2">
        <f t="shared" si="115"/>
        <v>1.1977524225804653E-2</v>
      </c>
      <c r="E1224" s="2">
        <f t="shared" ca="1" si="116"/>
        <v>-1.6122321369313919</v>
      </c>
      <c r="F1224">
        <f t="shared" ca="1" si="117"/>
        <v>-1.6072398830424148</v>
      </c>
      <c r="G1224" s="3">
        <f t="shared" ca="1" si="120"/>
        <v>1.8099786260413382</v>
      </c>
      <c r="H1224">
        <f t="shared" ca="1" si="118"/>
        <v>-0.88798832202657574</v>
      </c>
      <c r="I1224">
        <f t="shared" ca="1" si="119"/>
        <v>-0.94909223464666104</v>
      </c>
    </row>
    <row r="1225" spans="1:9" x14ac:dyDescent="0.3">
      <c r="A1225" s="1">
        <v>41954</v>
      </c>
      <c r="B1225" t="s">
        <v>0</v>
      </c>
      <c r="C1225">
        <v>548.78580959999999</v>
      </c>
      <c r="D1225" s="2">
        <f t="shared" si="115"/>
        <v>5.1142951648441319E-3</v>
      </c>
      <c r="E1225" s="2">
        <f t="shared" ca="1" si="116"/>
        <v>1.6755940716418811</v>
      </c>
      <c r="F1225">
        <f t="shared" ca="1" si="117"/>
        <v>1.673206031412207</v>
      </c>
      <c r="G1225" s="3">
        <f t="shared" ca="1" si="120"/>
        <v>1.8086654322287432</v>
      </c>
      <c r="H1225">
        <f t="shared" ca="1" si="118"/>
        <v>0.92510532992847927</v>
      </c>
      <c r="I1225">
        <f t="shared" ca="1" si="119"/>
        <v>-1.0294924732996265</v>
      </c>
    </row>
    <row r="1226" spans="1:9" x14ac:dyDescent="0.3">
      <c r="A1226" s="1">
        <v>41955</v>
      </c>
      <c r="B1226" t="s">
        <v>0</v>
      </c>
      <c r="C1226">
        <v>545.81393279999998</v>
      </c>
      <c r="D1226" s="2">
        <f t="shared" si="115"/>
        <v>-5.4153674311771382E-3</v>
      </c>
      <c r="E1226" s="2">
        <f t="shared" ca="1" si="116"/>
        <v>2.8143874840775607</v>
      </c>
      <c r="F1226">
        <f t="shared" ca="1" si="117"/>
        <v>2.8054042132244108</v>
      </c>
      <c r="G1226" s="3">
        <f t="shared" ca="1" si="120"/>
        <v>1.8078188310193739</v>
      </c>
      <c r="H1226">
        <f t="shared" ca="1" si="118"/>
        <v>1.5518171207689704</v>
      </c>
      <c r="I1226">
        <f t="shared" ca="1" si="119"/>
        <v>-2.0630989924476175</v>
      </c>
    </row>
    <row r="1227" spans="1:9" x14ac:dyDescent="0.3">
      <c r="A1227" s="1">
        <v>41956</v>
      </c>
      <c r="B1227" t="s">
        <v>0</v>
      </c>
      <c r="C1227">
        <v>543.88924210000005</v>
      </c>
      <c r="D1227" s="2">
        <f t="shared" si="115"/>
        <v>-3.5262762350648596E-3</v>
      </c>
      <c r="E1227" s="2">
        <f t="shared" ca="1" si="116"/>
        <v>-0.57662312624884737</v>
      </c>
      <c r="F1227">
        <f t="shared" ca="1" si="117"/>
        <v>-0.57819310554321213</v>
      </c>
      <c r="G1227" s="3">
        <f t="shared" ca="1" si="120"/>
        <v>1.8172801710385014</v>
      </c>
      <c r="H1227">
        <f t="shared" ca="1" si="118"/>
        <v>-0.31816398745648472</v>
      </c>
      <c r="I1227">
        <f t="shared" ca="1" si="119"/>
        <v>1.0956575517466576</v>
      </c>
    </row>
    <row r="1228" spans="1:9" x14ac:dyDescent="0.3">
      <c r="A1228" s="1">
        <v>41957</v>
      </c>
      <c r="B1228" t="s">
        <v>0</v>
      </c>
      <c r="C1228">
        <v>542.91188139999997</v>
      </c>
      <c r="D1228" s="2">
        <f t="shared" si="115"/>
        <v>-1.7969847982769588E-3</v>
      </c>
      <c r="E1228" s="2">
        <f t="shared" ca="1" si="116"/>
        <v>-2.831272722899135</v>
      </c>
      <c r="F1228">
        <f t="shared" ca="1" si="117"/>
        <v>-2.8268491777756819</v>
      </c>
      <c r="G1228" s="3">
        <f t="shared" ca="1" si="120"/>
        <v>1.8113060966346863</v>
      </c>
      <c r="H1228">
        <f t="shared" ca="1" si="118"/>
        <v>-1.5606689465838062</v>
      </c>
      <c r="I1228">
        <f t="shared" ca="1" si="119"/>
        <v>-2.0783258574163002</v>
      </c>
    </row>
    <row r="1229" spans="1:9" x14ac:dyDescent="0.3">
      <c r="A1229" s="1">
        <v>41960</v>
      </c>
      <c r="B1229" t="s">
        <v>0</v>
      </c>
      <c r="C1229">
        <v>535.04343719999997</v>
      </c>
      <c r="D1229" s="2">
        <f t="shared" si="115"/>
        <v>-1.4493041080091565E-2</v>
      </c>
      <c r="E1229" s="2">
        <f t="shared" ca="1" si="116"/>
        <v>-0.86575362894767394</v>
      </c>
      <c r="F1229">
        <f t="shared" ca="1" si="117"/>
        <v>-0.86302202961682217</v>
      </c>
      <c r="G1229" s="3">
        <f t="shared" ca="1" si="120"/>
        <v>1.8208781900161226</v>
      </c>
      <c r="H1229">
        <f t="shared" ca="1" si="118"/>
        <v>-0.47395923261027179</v>
      </c>
      <c r="I1229">
        <f t="shared" ca="1" si="119"/>
        <v>0.29434810587938187</v>
      </c>
    </row>
    <row r="1230" spans="1:9" x14ac:dyDescent="0.3">
      <c r="A1230" s="1">
        <v>41961</v>
      </c>
      <c r="B1230" t="s">
        <v>0</v>
      </c>
      <c r="C1230">
        <v>533.56753930000002</v>
      </c>
      <c r="D1230" s="2">
        <f t="shared" si="115"/>
        <v>-2.7584637010476167E-3</v>
      </c>
      <c r="E1230" s="2">
        <f t="shared" ca="1" si="116"/>
        <v>-1.1971736508515119E-2</v>
      </c>
      <c r="F1230">
        <f t="shared" ca="1" si="117"/>
        <v>-6.5314360300986942E-3</v>
      </c>
      <c r="G1230" s="3">
        <f t="shared" ca="1" si="120"/>
        <v>1.8156778962520368</v>
      </c>
      <c r="H1230">
        <f t="shared" ca="1" si="118"/>
        <v>-3.5972437862360012E-3</v>
      </c>
      <c r="I1230">
        <f t="shared" ca="1" si="119"/>
        <v>9.8838887921135434</v>
      </c>
    </row>
    <row r="1231" spans="1:9" x14ac:dyDescent="0.3">
      <c r="A1231" s="1">
        <v>41962</v>
      </c>
      <c r="B1231" t="s">
        <v>0</v>
      </c>
      <c r="C1231">
        <v>535.52213900000004</v>
      </c>
      <c r="D1231" s="2">
        <f t="shared" si="115"/>
        <v>3.6632657649382176E-3</v>
      </c>
      <c r="E1231" s="2">
        <f t="shared" ca="1" si="116"/>
        <v>-3.5813897426010501</v>
      </c>
      <c r="F1231">
        <f t="shared" ca="1" si="117"/>
        <v>-3.5715424952359838</v>
      </c>
      <c r="G1231" s="3">
        <f t="shared" ca="1" si="120"/>
        <v>1.8090508118664594</v>
      </c>
      <c r="H1231">
        <f t="shared" ca="1" si="118"/>
        <v>-1.9742632278808694</v>
      </c>
      <c r="I1231">
        <f t="shared" ca="1" si="119"/>
        <v>-2.5459961999633647</v>
      </c>
    </row>
    <row r="1232" spans="1:9" x14ac:dyDescent="0.3">
      <c r="A1232" s="1">
        <v>41963</v>
      </c>
      <c r="B1232" t="s">
        <v>0</v>
      </c>
      <c r="C1232">
        <v>533.36807590000001</v>
      </c>
      <c r="D1232" s="2">
        <f t="shared" si="115"/>
        <v>-4.0223605022611962E-3</v>
      </c>
      <c r="E1232" s="2">
        <f t="shared" ca="1" si="116"/>
        <v>-3.4532356638682935</v>
      </c>
      <c r="F1232">
        <f t="shared" ca="1" si="117"/>
        <v>-3.4526102368815819</v>
      </c>
      <c r="G1232" s="3">
        <f t="shared" ca="1" si="120"/>
        <v>1.828305279183378</v>
      </c>
      <c r="H1232">
        <f t="shared" ca="1" si="118"/>
        <v>-1.8884210838267164</v>
      </c>
      <c r="I1232">
        <f t="shared" ca="1" si="119"/>
        <v>-2.4782624280189394</v>
      </c>
    </row>
    <row r="1233" spans="1:9" x14ac:dyDescent="0.3">
      <c r="A1233" s="1">
        <v>41964</v>
      </c>
      <c r="B1233" t="s">
        <v>0</v>
      </c>
      <c r="C1233">
        <v>536.03074660000004</v>
      </c>
      <c r="D1233" s="2">
        <f t="shared" si="115"/>
        <v>4.992182360196701E-3</v>
      </c>
      <c r="E1233" s="2">
        <f t="shared" ca="1" si="116"/>
        <v>0.54831849172462133</v>
      </c>
      <c r="F1233">
        <f t="shared" ca="1" si="117"/>
        <v>0.54723671712119848</v>
      </c>
      <c r="G1233" s="3">
        <f t="shared" ca="1" si="120"/>
        <v>1.8449104713411</v>
      </c>
      <c r="H1233">
        <f t="shared" ca="1" si="118"/>
        <v>0.29661966020681851</v>
      </c>
      <c r="I1233">
        <f t="shared" ca="1" si="119"/>
        <v>1.2056644093254554</v>
      </c>
    </row>
    <row r="1234" spans="1:9" x14ac:dyDescent="0.3">
      <c r="A1234" s="1">
        <v>41967</v>
      </c>
      <c r="B1234" t="s">
        <v>0</v>
      </c>
      <c r="C1234">
        <v>537.79595219999999</v>
      </c>
      <c r="D1234" s="2">
        <f t="shared" si="115"/>
        <v>3.2931051272646244E-3</v>
      </c>
      <c r="E1234" s="2">
        <f t="shared" ca="1" si="116"/>
        <v>-2.1236218286502431</v>
      </c>
      <c r="F1234">
        <f t="shared" ca="1" si="117"/>
        <v>-2.1226056143012588</v>
      </c>
      <c r="G1234" s="3">
        <f t="shared" ca="1" si="120"/>
        <v>1.8385189560323743</v>
      </c>
      <c r="H1234">
        <f t="shared" ca="1" si="118"/>
        <v>-1.1545192979037646</v>
      </c>
      <c r="I1234">
        <f t="shared" ca="1" si="119"/>
        <v>-1.5052912016875379</v>
      </c>
    </row>
    <row r="1235" spans="1:9" x14ac:dyDescent="0.3">
      <c r="A1235" s="1">
        <v>41968</v>
      </c>
      <c r="B1235" t="s">
        <v>0</v>
      </c>
      <c r="C1235">
        <v>539.60095360000003</v>
      </c>
      <c r="D1235" s="2">
        <f t="shared" si="115"/>
        <v>3.3562941346363621E-3</v>
      </c>
      <c r="E1235" s="2">
        <f t="shared" ca="1" si="116"/>
        <v>1.8960940332339395</v>
      </c>
      <c r="F1235">
        <f t="shared" ca="1" si="117"/>
        <v>1.89200352762279</v>
      </c>
      <c r="G1235" s="3">
        <f t="shared" ca="1" si="120"/>
        <v>1.8403515212363983</v>
      </c>
      <c r="H1235">
        <f t="shared" ca="1" si="118"/>
        <v>1.0280663806834525</v>
      </c>
      <c r="I1235">
        <f t="shared" ca="1" si="119"/>
        <v>-1.2752758170947882</v>
      </c>
    </row>
    <row r="1236" spans="1:9" x14ac:dyDescent="0.3">
      <c r="A1236" s="1">
        <v>41969</v>
      </c>
      <c r="B1236" t="s">
        <v>0</v>
      </c>
      <c r="C1236">
        <v>538.89294240000004</v>
      </c>
      <c r="D1236" s="2">
        <f t="shared" si="115"/>
        <v>-1.3121014617865701E-3</v>
      </c>
      <c r="E1236" s="2">
        <f t="shared" ca="1" si="116"/>
        <v>3.2989233041363049</v>
      </c>
      <c r="F1236">
        <f t="shared" ca="1" si="117"/>
        <v>3.2958719675290382</v>
      </c>
      <c r="G1236" s="3">
        <f t="shared" ca="1" si="120"/>
        <v>1.840352770946124</v>
      </c>
      <c r="H1236">
        <f t="shared" ca="1" si="118"/>
        <v>1.7908914092783597</v>
      </c>
      <c r="I1236">
        <f t="shared" ca="1" si="119"/>
        <v>-2.38534169146652</v>
      </c>
    </row>
    <row r="1237" spans="1:9" x14ac:dyDescent="0.3">
      <c r="A1237" s="1">
        <v>41971</v>
      </c>
      <c r="B1237" t="s">
        <v>0</v>
      </c>
      <c r="C1237">
        <v>540.34894299999996</v>
      </c>
      <c r="D1237" s="2">
        <f t="shared" si="115"/>
        <v>2.7018364603468683E-3</v>
      </c>
      <c r="E1237" s="2">
        <f t="shared" ca="1" si="116"/>
        <v>0.83096214256134615</v>
      </c>
      <c r="F1237">
        <f t="shared" ca="1" si="117"/>
        <v>0.8292634125975703</v>
      </c>
      <c r="G1237" s="3">
        <f t="shared" ca="1" si="120"/>
        <v>1.8543439749632751</v>
      </c>
      <c r="H1237">
        <f t="shared" ca="1" si="118"/>
        <v>0.44720042440561425</v>
      </c>
      <c r="I1237">
        <f t="shared" ca="1" si="119"/>
        <v>0.37442423850814821</v>
      </c>
    </row>
    <row r="1238" spans="1:9" x14ac:dyDescent="0.3">
      <c r="A1238" s="1">
        <v>41974</v>
      </c>
      <c r="B1238" t="s">
        <v>0</v>
      </c>
      <c r="C1238">
        <v>532.34084919999998</v>
      </c>
      <c r="D1238" s="2">
        <f t="shared" si="115"/>
        <v>-1.4820226640102789E-2</v>
      </c>
      <c r="E1238" s="2">
        <f t="shared" ca="1" si="116"/>
        <v>1.824101441730569</v>
      </c>
      <c r="F1238">
        <f t="shared" ca="1" si="117"/>
        <v>1.8241128887193678</v>
      </c>
      <c r="G1238" s="3">
        <f t="shared" ca="1" si="120"/>
        <v>1.8485690900761633</v>
      </c>
      <c r="H1238">
        <f t="shared" ca="1" si="118"/>
        <v>0.98677019891326434</v>
      </c>
      <c r="I1238">
        <f t="shared" ca="1" si="119"/>
        <v>-1.2022535704376542</v>
      </c>
    </row>
    <row r="1239" spans="1:9" x14ac:dyDescent="0.3">
      <c r="A1239" s="1">
        <v>41975</v>
      </c>
      <c r="B1239" t="s">
        <v>0</v>
      </c>
      <c r="C1239">
        <v>532.29098409999995</v>
      </c>
      <c r="D1239" s="2">
        <f t="shared" si="115"/>
        <v>-9.3671376290154585E-5</v>
      </c>
      <c r="E1239" s="2">
        <f t="shared" ca="1" si="116"/>
        <v>0.62000355029354115</v>
      </c>
      <c r="F1239">
        <f t="shared" ca="1" si="117"/>
        <v>0.62274000505726168</v>
      </c>
      <c r="G1239" s="3">
        <f t="shared" ca="1" si="120"/>
        <v>1.8479039082531115</v>
      </c>
      <c r="H1239">
        <f t="shared" ca="1" si="118"/>
        <v>0.33699804533990063</v>
      </c>
      <c r="I1239">
        <f t="shared" ca="1" si="119"/>
        <v>0.94725232668619197</v>
      </c>
    </row>
    <row r="1240" spans="1:9" x14ac:dyDescent="0.3">
      <c r="A1240" s="1">
        <v>41976</v>
      </c>
      <c r="B1240" t="s">
        <v>0</v>
      </c>
      <c r="C1240">
        <v>529.86763240000005</v>
      </c>
      <c r="D1240" s="2">
        <f t="shared" si="115"/>
        <v>-4.5526822215433771E-3</v>
      </c>
      <c r="E1240" s="2">
        <f t="shared" ca="1" si="116"/>
        <v>1.680325166334327</v>
      </c>
      <c r="F1240">
        <f t="shared" ca="1" si="117"/>
        <v>1.689581602089641</v>
      </c>
      <c r="G1240" s="3">
        <f t="shared" ca="1" si="120"/>
        <v>1.8416438707699561</v>
      </c>
      <c r="H1240">
        <f t="shared" ca="1" si="118"/>
        <v>0.91743123027540574</v>
      </c>
      <c r="I1240">
        <f t="shared" ca="1" si="119"/>
        <v>-1.0489691117754081</v>
      </c>
    </row>
    <row r="1241" spans="1:9" x14ac:dyDescent="0.3">
      <c r="A1241" s="1">
        <v>41977</v>
      </c>
      <c r="B1241" t="s">
        <v>0</v>
      </c>
      <c r="C1241">
        <v>535.84129270000005</v>
      </c>
      <c r="D1241" s="2">
        <f t="shared" si="115"/>
        <v>1.127387282167569E-2</v>
      </c>
      <c r="E1241" s="2">
        <f t="shared" ca="1" si="116"/>
        <v>-2.5087590315319308</v>
      </c>
      <c r="F1241">
        <f t="shared" ca="1" si="117"/>
        <v>-2.5073432501749315</v>
      </c>
      <c r="G1241" s="3">
        <f t="shared" ca="1" si="120"/>
        <v>1.8402201620409435</v>
      </c>
      <c r="H1241">
        <f t="shared" ca="1" si="118"/>
        <v>-1.3625235185957847</v>
      </c>
      <c r="I1241">
        <f t="shared" ca="1" si="119"/>
        <v>-1.8384676701058345</v>
      </c>
    </row>
    <row r="1242" spans="1:9" x14ac:dyDescent="0.3">
      <c r="A1242" s="1">
        <v>41978</v>
      </c>
      <c r="B1242" t="s">
        <v>0</v>
      </c>
      <c r="C1242">
        <v>523.82420960000002</v>
      </c>
      <c r="D1242" s="2">
        <f t="shared" si="115"/>
        <v>-2.2426571568324442E-2</v>
      </c>
      <c r="E1242" s="2">
        <f t="shared" ca="1" si="116"/>
        <v>-0.12382746683546525</v>
      </c>
      <c r="F1242">
        <f t="shared" ca="1" si="117"/>
        <v>-0.12435400590706375</v>
      </c>
      <c r="G1242" s="3">
        <f t="shared" ca="1" si="120"/>
        <v>1.8454379173333402</v>
      </c>
      <c r="H1242">
        <f t="shared" ca="1" si="118"/>
        <v>-6.7384551243401036E-2</v>
      </c>
      <c r="I1242">
        <f t="shared" ca="1" si="119"/>
        <v>4.136721619675952</v>
      </c>
    </row>
    <row r="1243" spans="1:9" x14ac:dyDescent="0.3">
      <c r="A1243" s="1">
        <v>41981</v>
      </c>
      <c r="B1243" t="s">
        <v>0</v>
      </c>
      <c r="C1243">
        <v>525.53948830000002</v>
      </c>
      <c r="D1243" s="2">
        <f t="shared" si="115"/>
        <v>3.2745311663044578E-3</v>
      </c>
      <c r="E1243" s="2">
        <f t="shared" ca="1" si="116"/>
        <v>-2.0623638327194986</v>
      </c>
      <c r="F1243">
        <f t="shared" ca="1" si="117"/>
        <v>-2.0626972075040744</v>
      </c>
      <c r="G1243" s="3">
        <f t="shared" ca="1" si="120"/>
        <v>1.8384947476600895</v>
      </c>
      <c r="H1243">
        <f t="shared" ca="1" si="118"/>
        <v>-1.1219489259511535</v>
      </c>
      <c r="I1243">
        <f t="shared" ca="1" si="119"/>
        <v>-1.4480314209859582</v>
      </c>
    </row>
    <row r="1244" spans="1:9" x14ac:dyDescent="0.3">
      <c r="A1244" s="1">
        <v>41982</v>
      </c>
      <c r="B1244" t="s">
        <v>0</v>
      </c>
      <c r="C1244">
        <v>531.91207540000005</v>
      </c>
      <c r="D1244" s="2">
        <f t="shared" si="115"/>
        <v>1.2125800709312812E-2</v>
      </c>
      <c r="E1244" s="2">
        <f t="shared" ca="1" si="116"/>
        <v>-1.1195293066289813</v>
      </c>
      <c r="F1244">
        <f t="shared" ca="1" si="117"/>
        <v>-1.1065407066002118</v>
      </c>
      <c r="G1244" s="3">
        <f t="shared" ca="1" si="120"/>
        <v>1.8398434243555386</v>
      </c>
      <c r="H1244">
        <f t="shared" ca="1" si="118"/>
        <v>-0.60143199793635238</v>
      </c>
      <c r="I1244">
        <f t="shared" ca="1" si="119"/>
        <v>-0.20259742114384335</v>
      </c>
    </row>
    <row r="1245" spans="1:9" x14ac:dyDescent="0.3">
      <c r="A1245" s="1">
        <v>41983</v>
      </c>
      <c r="B1245" t="s">
        <v>0</v>
      </c>
      <c r="C1245">
        <v>524.62200329999996</v>
      </c>
      <c r="D1245" s="2">
        <f t="shared" si="115"/>
        <v>-1.3705408162651552E-2</v>
      </c>
      <c r="E1245" s="2">
        <f t="shared" ca="1" si="116"/>
        <v>0.3681735570993841</v>
      </c>
      <c r="F1245">
        <f t="shared" ca="1" si="117"/>
        <v>0.3625190226449439</v>
      </c>
      <c r="G1245" s="3">
        <f t="shared" ca="1" si="120"/>
        <v>1.8353055355859647</v>
      </c>
      <c r="H1245">
        <f t="shared" ca="1" si="118"/>
        <v>0.19752516167788986</v>
      </c>
      <c r="I1245">
        <f t="shared" ca="1" si="119"/>
        <v>2.0279273630501695</v>
      </c>
    </row>
    <row r="1246" spans="1:9" x14ac:dyDescent="0.3">
      <c r="A1246" s="1">
        <v>41984</v>
      </c>
      <c r="B1246" t="s">
        <v>0</v>
      </c>
      <c r="C1246">
        <v>526.89581750000002</v>
      </c>
      <c r="D1246" s="2">
        <f t="shared" si="115"/>
        <v>4.3341952600104774E-3</v>
      </c>
      <c r="E1246" s="2">
        <f t="shared" ca="1" si="116"/>
        <v>-1.354094745129784</v>
      </c>
      <c r="F1246">
        <f t="shared" ca="1" si="117"/>
        <v>-1.3575589621257231</v>
      </c>
      <c r="G1246" s="3">
        <f t="shared" ca="1" si="120"/>
        <v>1.8287063909991021</v>
      </c>
      <c r="H1246">
        <f t="shared" ca="1" si="118"/>
        <v>-0.74236026559956925</v>
      </c>
      <c r="I1246">
        <f t="shared" ca="1" si="119"/>
        <v>-0.61138660540070833</v>
      </c>
    </row>
    <row r="1247" spans="1:9" x14ac:dyDescent="0.3">
      <c r="A1247" s="1">
        <v>41985</v>
      </c>
      <c r="B1247" t="s">
        <v>0</v>
      </c>
      <c r="C1247">
        <v>517.24227029999997</v>
      </c>
      <c r="D1247" s="2">
        <f t="shared" si="115"/>
        <v>-1.8321548358087029E-2</v>
      </c>
      <c r="E1247" s="2">
        <f t="shared" ca="1" si="116"/>
        <v>7.9295232781719557E-2</v>
      </c>
      <c r="F1247">
        <f t="shared" ca="1" si="117"/>
        <v>8.6537237946225573E-2</v>
      </c>
      <c r="G1247" s="3">
        <f t="shared" ca="1" si="120"/>
        <v>1.8255591863598168</v>
      </c>
      <c r="H1247">
        <f t="shared" ca="1" si="118"/>
        <v>4.7403140140737744E-2</v>
      </c>
      <c r="I1247">
        <f t="shared" ca="1" si="119"/>
        <v>4.849536129926161</v>
      </c>
    </row>
    <row r="1248" spans="1:9" x14ac:dyDescent="0.3">
      <c r="A1248" s="1">
        <v>41988</v>
      </c>
      <c r="B1248" t="s">
        <v>0</v>
      </c>
      <c r="C1248">
        <v>512.39556900000002</v>
      </c>
      <c r="D1248" s="2">
        <f t="shared" si="115"/>
        <v>-9.3702730389549713E-3</v>
      </c>
      <c r="E1248" s="2">
        <f t="shared" ca="1" si="116"/>
        <v>2.1051304892789884</v>
      </c>
      <c r="F1248">
        <f t="shared" ca="1" si="117"/>
        <v>2.1078944527412604</v>
      </c>
      <c r="G1248" s="3">
        <f t="shared" ca="1" si="120"/>
        <v>1.8188316647278833</v>
      </c>
      <c r="H1248">
        <f t="shared" ca="1" si="118"/>
        <v>1.1589277301572734</v>
      </c>
      <c r="I1248">
        <f t="shared" ca="1" si="119"/>
        <v>-1.4913988800392373</v>
      </c>
    </row>
    <row r="1249" spans="1:9" x14ac:dyDescent="0.3">
      <c r="A1249" s="1">
        <v>41989</v>
      </c>
      <c r="B1249" t="s">
        <v>0</v>
      </c>
      <c r="C1249">
        <v>494.0358665</v>
      </c>
      <c r="D1249" s="2">
        <f t="shared" si="115"/>
        <v>-3.5831110982928946E-2</v>
      </c>
      <c r="E1249" s="2">
        <f t="shared" ca="1" si="116"/>
        <v>0.95031846721557311</v>
      </c>
      <c r="F1249">
        <f t="shared" ca="1" si="117"/>
        <v>0.96452112646394539</v>
      </c>
      <c r="G1249" s="3">
        <f t="shared" ca="1" si="120"/>
        <v>1.8210536164623818</v>
      </c>
      <c r="H1249">
        <f t="shared" ca="1" si="118"/>
        <v>0.52965004310946373</v>
      </c>
      <c r="I1249">
        <f t="shared" ca="1" si="119"/>
        <v>7.0867028526375928E-2</v>
      </c>
    </row>
    <row r="1250" spans="1:9" x14ac:dyDescent="0.3">
      <c r="A1250" s="1">
        <v>41990</v>
      </c>
      <c r="B1250" t="s">
        <v>0</v>
      </c>
      <c r="C1250">
        <v>503.50990849999999</v>
      </c>
      <c r="D1250" s="2">
        <f t="shared" si="115"/>
        <v>1.917683035266023E-2</v>
      </c>
      <c r="E1250" s="2">
        <f t="shared" ca="1" si="116"/>
        <v>2.8174975547642234</v>
      </c>
      <c r="F1250">
        <f t="shared" ca="1" si="117"/>
        <v>2.8340159918341974</v>
      </c>
      <c r="G1250" s="3">
        <f t="shared" ca="1" si="120"/>
        <v>1.8162210287063825</v>
      </c>
      <c r="H1250">
        <f t="shared" ca="1" si="118"/>
        <v>1.5603915751667887</v>
      </c>
      <c r="I1250">
        <f t="shared" ca="1" si="119"/>
        <v>-2.0834353559275605</v>
      </c>
    </row>
    <row r="1251" spans="1:9" x14ac:dyDescent="0.3">
      <c r="A1251" s="1">
        <v>41991</v>
      </c>
      <c r="B1251" t="s">
        <v>0</v>
      </c>
      <c r="C1251">
        <v>509.7029296</v>
      </c>
      <c r="D1251" s="2">
        <f t="shared" si="115"/>
        <v>1.2299700552963418E-2</v>
      </c>
      <c r="E1251" s="2">
        <f t="shared" ca="1" si="116"/>
        <v>2.3923922094791492</v>
      </c>
      <c r="F1251">
        <f t="shared" ca="1" si="117"/>
        <v>2.4089862558929358</v>
      </c>
      <c r="G1251" s="3">
        <f t="shared" ca="1" si="120"/>
        <v>1.8256870121773425</v>
      </c>
      <c r="H1251">
        <f t="shared" ca="1" si="118"/>
        <v>1.3194957513664631</v>
      </c>
      <c r="I1251">
        <f t="shared" ca="1" si="119"/>
        <v>-1.7584381053637412</v>
      </c>
    </row>
    <row r="1252" spans="1:9" x14ac:dyDescent="0.3">
      <c r="A1252" s="1">
        <v>41992</v>
      </c>
      <c r="B1252" t="s">
        <v>0</v>
      </c>
      <c r="C1252">
        <v>514.93854920000001</v>
      </c>
      <c r="D1252" s="2">
        <f t="shared" si="115"/>
        <v>1.027190407578934E-2</v>
      </c>
      <c r="E1252" s="2">
        <f t="shared" ca="1" si="116"/>
        <v>0.6801668522701283</v>
      </c>
      <c r="F1252">
        <f t="shared" ca="1" si="117"/>
        <v>0.66455815770282167</v>
      </c>
      <c r="G1252" s="3">
        <f t="shared" ca="1" si="120"/>
        <v>1.8304110127402486</v>
      </c>
      <c r="H1252">
        <f t="shared" ca="1" si="118"/>
        <v>0.36306499091039302</v>
      </c>
      <c r="I1252">
        <f t="shared" ca="1" si="119"/>
        <v>0.81702685644484707</v>
      </c>
    </row>
    <row r="1253" spans="1:9" x14ac:dyDescent="0.3">
      <c r="A1253" s="1">
        <v>41995</v>
      </c>
      <c r="B1253" t="s">
        <v>0</v>
      </c>
      <c r="C1253">
        <v>523.43529139999998</v>
      </c>
      <c r="D1253" s="2">
        <f t="shared" si="115"/>
        <v>1.6500497415080632E-2</v>
      </c>
      <c r="E1253" s="2">
        <f t="shared" ca="1" si="116"/>
        <v>2.8345442457841989</v>
      </c>
      <c r="F1253">
        <f t="shared" ca="1" si="117"/>
        <v>2.8238225360628815</v>
      </c>
      <c r="G1253" s="3">
        <f t="shared" ca="1" si="120"/>
        <v>1.8244807639461655</v>
      </c>
      <c r="H1253">
        <f t="shared" ca="1" si="118"/>
        <v>1.5477403718717437</v>
      </c>
      <c r="I1253">
        <f t="shared" ca="1" si="119"/>
        <v>-2.076217097021078</v>
      </c>
    </row>
    <row r="1254" spans="1:9" x14ac:dyDescent="0.3">
      <c r="A1254" s="1">
        <v>41996</v>
      </c>
      <c r="B1254" t="s">
        <v>0</v>
      </c>
      <c r="C1254">
        <v>529.13966310000001</v>
      </c>
      <c r="D1254" s="2">
        <f t="shared" si="115"/>
        <v>1.0897950126257048E-2</v>
      </c>
      <c r="E1254" s="2">
        <f t="shared" ca="1" si="116"/>
        <v>-2.4732481171118388</v>
      </c>
      <c r="F1254">
        <f t="shared" ca="1" si="117"/>
        <v>-2.4845642759402633</v>
      </c>
      <c r="G1254" s="3">
        <f t="shared" ca="1" si="120"/>
        <v>1.8335210429501834</v>
      </c>
      <c r="H1254">
        <f t="shared" ca="1" si="118"/>
        <v>-1.3550781353141899</v>
      </c>
      <c r="I1254">
        <f t="shared" ca="1" si="119"/>
        <v>-1.8202138442962474</v>
      </c>
    </row>
    <row r="1255" spans="1:9" x14ac:dyDescent="0.3">
      <c r="A1255" s="1">
        <v>41997</v>
      </c>
      <c r="B1255" t="s">
        <v>0</v>
      </c>
      <c r="C1255">
        <v>527.32465219999995</v>
      </c>
      <c r="D1255" s="2">
        <f t="shared" si="115"/>
        <v>-3.4301168983755606E-3</v>
      </c>
      <c r="E1255" s="2">
        <f t="shared" ca="1" si="116"/>
        <v>0.43785651887574273</v>
      </c>
      <c r="F1255">
        <f t="shared" ca="1" si="117"/>
        <v>0.42433232152417788</v>
      </c>
      <c r="G1255" s="3">
        <f t="shared" ca="1" si="120"/>
        <v>1.8387278623345382</v>
      </c>
      <c r="H1255">
        <f t="shared" ca="1" si="118"/>
        <v>0.23077494512180011</v>
      </c>
      <c r="I1255">
        <f t="shared" ca="1" si="119"/>
        <v>1.7144113631420519</v>
      </c>
    </row>
    <row r="1256" spans="1:9" x14ac:dyDescent="0.3">
      <c r="A1256" s="1">
        <v>41999</v>
      </c>
      <c r="B1256" t="s">
        <v>0</v>
      </c>
      <c r="C1256">
        <v>532.5702205</v>
      </c>
      <c r="D1256" s="2">
        <f t="shared" si="115"/>
        <v>9.9475119892755495E-3</v>
      </c>
      <c r="E1256" s="2">
        <f t="shared" ca="1" si="116"/>
        <v>2.5018622514140003</v>
      </c>
      <c r="F1256">
        <f t="shared" ca="1" si="117"/>
        <v>2.4960988761747251</v>
      </c>
      <c r="G1256" s="3">
        <f t="shared" ca="1" si="120"/>
        <v>1.8321820049144575</v>
      </c>
      <c r="H1256">
        <f t="shared" ca="1" si="118"/>
        <v>1.3623640388779308</v>
      </c>
      <c r="I1256">
        <f t="shared" ca="1" si="119"/>
        <v>-1.8294740091558845</v>
      </c>
    </row>
    <row r="1257" spans="1:9" x14ac:dyDescent="0.3">
      <c r="A1257" s="1">
        <v>42002</v>
      </c>
      <c r="B1257" t="s">
        <v>0</v>
      </c>
      <c r="C1257">
        <v>528.88038489999997</v>
      </c>
      <c r="D1257" s="2">
        <f t="shared" si="115"/>
        <v>-6.9283550937862433E-3</v>
      </c>
      <c r="E1257" s="2">
        <f t="shared" ca="1" si="116"/>
        <v>1.4568716487037616</v>
      </c>
      <c r="F1257">
        <f t="shared" ca="1" si="117"/>
        <v>1.4560415668743938</v>
      </c>
      <c r="G1257" s="3">
        <f t="shared" ca="1" si="120"/>
        <v>1.8375425396312635</v>
      </c>
      <c r="H1257">
        <f t="shared" ca="1" si="118"/>
        <v>0.79238522944158629</v>
      </c>
      <c r="I1257">
        <f t="shared" ca="1" si="119"/>
        <v>-0.75146563798170163</v>
      </c>
    </row>
    <row r="1258" spans="1:9" x14ac:dyDescent="0.3">
      <c r="A1258" s="1">
        <v>42003</v>
      </c>
      <c r="B1258" t="s">
        <v>0</v>
      </c>
      <c r="C1258">
        <v>528.97010660000001</v>
      </c>
      <c r="D1258" s="2">
        <f t="shared" si="115"/>
        <v>1.6964459745846965E-4</v>
      </c>
      <c r="E1258" s="2">
        <f t="shared" ca="1" si="116"/>
        <v>2.1088137983701207</v>
      </c>
      <c r="F1258">
        <f t="shared" ca="1" si="117"/>
        <v>2.1046853115528394</v>
      </c>
      <c r="G1258" s="3">
        <f t="shared" ca="1" si="120"/>
        <v>1.8347784848863142</v>
      </c>
      <c r="H1258">
        <f t="shared" ca="1" si="118"/>
        <v>1.1471059470610967</v>
      </c>
      <c r="I1258">
        <f t="shared" ca="1" si="119"/>
        <v>-1.4883319270156636</v>
      </c>
    </row>
    <row r="1259" spans="1:9" x14ac:dyDescent="0.3">
      <c r="A1259" s="1">
        <v>42004</v>
      </c>
      <c r="B1259" t="s">
        <v>0</v>
      </c>
      <c r="C1259">
        <v>524.96111629999996</v>
      </c>
      <c r="D1259" s="2">
        <f t="shared" si="115"/>
        <v>-7.5788598447805939E-3</v>
      </c>
      <c r="E1259" s="2">
        <f t="shared" ca="1" si="116"/>
        <v>-1.9572591916594653</v>
      </c>
      <c r="F1259">
        <f t="shared" ca="1" si="117"/>
        <v>-1.9529955099781287</v>
      </c>
      <c r="G1259" s="3">
        <f t="shared" ca="1" si="120"/>
        <v>1.8365603077266845</v>
      </c>
      <c r="H1259">
        <f t="shared" ca="1" si="118"/>
        <v>-1.0633985182852879</v>
      </c>
      <c r="I1259">
        <f t="shared" ca="1" si="119"/>
        <v>-1.3387437650236589</v>
      </c>
    </row>
    <row r="1260" spans="1:9" x14ac:dyDescent="0.3">
      <c r="A1260" s="1">
        <v>42006</v>
      </c>
      <c r="B1260" t="s">
        <v>0</v>
      </c>
      <c r="C1260">
        <v>523.37547659999996</v>
      </c>
      <c r="D1260" s="2">
        <f t="shared" si="115"/>
        <v>-3.0204898053703749E-3</v>
      </c>
      <c r="E1260" s="2">
        <f t="shared" ca="1" si="116"/>
        <v>1.0126026733460749</v>
      </c>
      <c r="F1260">
        <f t="shared" ca="1" si="117"/>
        <v>1.0147567903000096</v>
      </c>
      <c r="G1260" s="3">
        <f t="shared" ca="1" si="120"/>
        <v>1.8371030760710221</v>
      </c>
      <c r="H1260">
        <f t="shared" ca="1" si="118"/>
        <v>0.55236791202279789</v>
      </c>
      <c r="I1260">
        <f t="shared" ca="1" si="119"/>
        <v>-2.9306796567537461E-2</v>
      </c>
    </row>
    <row r="1261" spans="1:9" x14ac:dyDescent="0.3">
      <c r="A1261" s="1">
        <v>42009</v>
      </c>
      <c r="B1261" t="s">
        <v>0</v>
      </c>
      <c r="C1261">
        <v>512.46533239999997</v>
      </c>
      <c r="D1261" s="2">
        <f t="shared" si="115"/>
        <v>-2.0845730623214286E-2</v>
      </c>
      <c r="E1261" s="2">
        <f t="shared" ca="1" si="116"/>
        <v>-1.246584655480208</v>
      </c>
      <c r="F1261">
        <f t="shared" ca="1" si="117"/>
        <v>-1.2409647188089181</v>
      </c>
      <c r="G1261" s="3">
        <f t="shared" ca="1" si="120"/>
        <v>1.8322291304919545</v>
      </c>
      <c r="H1261">
        <f t="shared" ca="1" si="118"/>
        <v>-0.67729777796716861</v>
      </c>
      <c r="I1261">
        <f t="shared" ca="1" si="119"/>
        <v>-0.43206032529089461</v>
      </c>
    </row>
    <row r="1262" spans="1:9" x14ac:dyDescent="0.3">
      <c r="A1262" s="1">
        <v>42010</v>
      </c>
      <c r="B1262" t="s">
        <v>0</v>
      </c>
      <c r="C1262">
        <v>500.58789789999997</v>
      </c>
      <c r="D1262" s="2">
        <f t="shared" si="115"/>
        <v>-2.3177049741833412E-2</v>
      </c>
      <c r="E1262" s="2">
        <f t="shared" ca="1" si="116"/>
        <v>-0.21729286914481019</v>
      </c>
      <c r="F1262">
        <f t="shared" ca="1" si="117"/>
        <v>-0.20919654366248047</v>
      </c>
      <c r="G1262" s="3">
        <f t="shared" ca="1" si="120"/>
        <v>1.8284270532363012</v>
      </c>
      <c r="H1262">
        <f t="shared" ca="1" si="118"/>
        <v>-0.11441339335479875</v>
      </c>
      <c r="I1262">
        <f t="shared" ca="1" si="119"/>
        <v>3.1166875387176867</v>
      </c>
    </row>
    <row r="1263" spans="1:9" x14ac:dyDescent="0.3">
      <c r="A1263" s="1">
        <v>42011</v>
      </c>
      <c r="B1263" t="s">
        <v>0</v>
      </c>
      <c r="C1263">
        <v>499.73025860000001</v>
      </c>
      <c r="D1263" s="2">
        <f t="shared" si="115"/>
        <v>-1.7132641512066405E-3</v>
      </c>
      <c r="E1263" s="2">
        <f t="shared" ca="1" si="116"/>
        <v>1.9491075981928647</v>
      </c>
      <c r="F1263">
        <f t="shared" ca="1" si="117"/>
        <v>1.9689987610604736</v>
      </c>
      <c r="G1263" s="3">
        <f t="shared" ca="1" si="120"/>
        <v>1.8217376915096626</v>
      </c>
      <c r="H1263">
        <f t="shared" ca="1" si="118"/>
        <v>1.080835495822001</v>
      </c>
      <c r="I1263">
        <f t="shared" ca="1" si="119"/>
        <v>-1.3550510979760362</v>
      </c>
    </row>
    <row r="1264" spans="1:9" x14ac:dyDescent="0.3">
      <c r="A1264" s="1">
        <v>42012</v>
      </c>
      <c r="B1264" t="s">
        <v>0</v>
      </c>
      <c r="C1264">
        <v>501.3059495</v>
      </c>
      <c r="D1264" s="2">
        <f t="shared" si="115"/>
        <v>3.1530828339558616E-3</v>
      </c>
      <c r="E1264" s="2">
        <f t="shared" ca="1" si="116"/>
        <v>1.0038304942476253</v>
      </c>
      <c r="F1264">
        <f t="shared" ca="1" si="117"/>
        <v>1.0187736027450096</v>
      </c>
      <c r="G1264" s="3">
        <f t="shared" ca="1" si="120"/>
        <v>1.8227588559457988</v>
      </c>
      <c r="H1264">
        <f t="shared" ca="1" si="118"/>
        <v>0.55891847647416049</v>
      </c>
      <c r="I1264">
        <f t="shared" ca="1" si="119"/>
        <v>-3.7208686180997881E-2</v>
      </c>
    </row>
    <row r="1265" spans="1:9" x14ac:dyDescent="0.3">
      <c r="A1265" s="1">
        <v>42013</v>
      </c>
      <c r="B1265" t="s">
        <v>0</v>
      </c>
      <c r="C1265">
        <v>494.81373289999999</v>
      </c>
      <c r="D1265" s="2">
        <f t="shared" si="115"/>
        <v>-1.2950607521166085E-2</v>
      </c>
      <c r="E1265" s="2">
        <f t="shared" ca="1" si="116"/>
        <v>-1.1417029353321417</v>
      </c>
      <c r="F1265">
        <f t="shared" ca="1" si="117"/>
        <v>-1.1415762317351839</v>
      </c>
      <c r="G1265" s="3">
        <f t="shared" ca="1" si="120"/>
        <v>1.8181153012808604</v>
      </c>
      <c r="H1265">
        <f t="shared" ca="1" si="118"/>
        <v>-0.62788989836395115</v>
      </c>
      <c r="I1265">
        <f t="shared" ca="1" si="119"/>
        <v>-0.26494863125973173</v>
      </c>
    </row>
    <row r="1266" spans="1:9" x14ac:dyDescent="0.3">
      <c r="A1266" s="1">
        <v>42016</v>
      </c>
      <c r="B1266" t="s">
        <v>0</v>
      </c>
      <c r="C1266">
        <v>491.20363939999999</v>
      </c>
      <c r="D1266" s="2">
        <f t="shared" si="115"/>
        <v>-7.2958635946540947E-3</v>
      </c>
      <c r="E1266" s="2">
        <f t="shared" ca="1" si="116"/>
        <v>-0.80064561968390735</v>
      </c>
      <c r="F1266">
        <f t="shared" ca="1" si="117"/>
        <v>-0.79874761035516373</v>
      </c>
      <c r="G1266" s="3">
        <f t="shared" ca="1" si="120"/>
        <v>1.8140735058423265</v>
      </c>
      <c r="H1266">
        <f t="shared" ca="1" si="118"/>
        <v>-0.44030608891136536</v>
      </c>
      <c r="I1266">
        <f t="shared" ca="1" si="119"/>
        <v>0.44933709774106639</v>
      </c>
    </row>
    <row r="1267" spans="1:9" x14ac:dyDescent="0.3">
      <c r="A1267" s="1">
        <v>42017</v>
      </c>
      <c r="B1267" t="s">
        <v>0</v>
      </c>
      <c r="C1267">
        <v>494.8237125</v>
      </c>
      <c r="D1267" s="2">
        <f t="shared" si="115"/>
        <v>7.3698010552647655E-3</v>
      </c>
      <c r="E1267" s="2">
        <f t="shared" ca="1" si="116"/>
        <v>5.539572113344373E-2</v>
      </c>
      <c r="F1267">
        <f t="shared" ca="1" si="117"/>
        <v>6.5635396053198555E-2</v>
      </c>
      <c r="G1267" s="3">
        <f t="shared" ca="1" si="120"/>
        <v>1.8087537362890311</v>
      </c>
      <c r="H1267">
        <f t="shared" ca="1" si="118"/>
        <v>3.6287635368129685E-2</v>
      </c>
      <c r="I1267">
        <f t="shared" ca="1" si="119"/>
        <v>5.4346726253283322</v>
      </c>
    </row>
    <row r="1268" spans="1:9" x14ac:dyDescent="0.3">
      <c r="A1268" s="1">
        <v>42018</v>
      </c>
      <c r="B1268" t="s">
        <v>0</v>
      </c>
      <c r="C1268">
        <v>499.50088729999999</v>
      </c>
      <c r="D1268" s="2">
        <f t="shared" si="115"/>
        <v>9.4522042534491285E-3</v>
      </c>
      <c r="E1268" s="2">
        <f t="shared" ca="1" si="116"/>
        <v>-0.79556710933220598</v>
      </c>
      <c r="F1268">
        <f t="shared" ca="1" si="117"/>
        <v>-0.7932214191433361</v>
      </c>
      <c r="G1268" s="3">
        <f t="shared" ca="1" si="120"/>
        <v>1.802216326453252</v>
      </c>
      <c r="H1268">
        <f t="shared" ca="1" si="118"/>
        <v>-0.44013662927157576</v>
      </c>
      <c r="I1268">
        <f t="shared" ca="1" si="119"/>
        <v>0.46316376208636528</v>
      </c>
    </row>
    <row r="1269" spans="1:9" x14ac:dyDescent="0.3">
      <c r="A1269" s="1">
        <v>42019</v>
      </c>
      <c r="B1269" t="s">
        <v>0</v>
      </c>
      <c r="C1269">
        <v>500.41837240000001</v>
      </c>
      <c r="D1269" s="2">
        <f t="shared" si="115"/>
        <v>1.8368037441522714E-3</v>
      </c>
      <c r="E1269" s="2">
        <f t="shared" ca="1" si="116"/>
        <v>0.34405636527744793</v>
      </c>
      <c r="F1269">
        <f t="shared" ca="1" si="117"/>
        <v>0.3366488938520536</v>
      </c>
      <c r="G1269" s="3">
        <f t="shared" ca="1" si="120"/>
        <v>1.7970428477905083</v>
      </c>
      <c r="H1269">
        <f t="shared" ca="1" si="118"/>
        <v>0.18733492875029029</v>
      </c>
      <c r="I1269">
        <f t="shared" ca="1" si="119"/>
        <v>2.1773997300219787</v>
      </c>
    </row>
    <row r="1270" spans="1:9" x14ac:dyDescent="0.3">
      <c r="A1270" s="1">
        <v>42020</v>
      </c>
      <c r="B1270" t="s">
        <v>0</v>
      </c>
      <c r="C1270">
        <v>506.69116739999998</v>
      </c>
      <c r="D1270" s="2">
        <f t="shared" si="115"/>
        <v>1.2535101319153672E-2</v>
      </c>
      <c r="E1270" s="2">
        <f t="shared" ca="1" si="116"/>
        <v>-2.5916987548456634</v>
      </c>
      <c r="F1270">
        <f t="shared" ca="1" si="117"/>
        <v>-2.5981322826179811</v>
      </c>
      <c r="G1270" s="3">
        <f t="shared" ca="1" si="120"/>
        <v>1.7908696370923656</v>
      </c>
      <c r="H1270">
        <f t="shared" ca="1" si="118"/>
        <v>-1.4507657223092338</v>
      </c>
      <c r="I1270">
        <f t="shared" ca="1" si="119"/>
        <v>-1.9096089454291552</v>
      </c>
    </row>
    <row r="1271" spans="1:9" x14ac:dyDescent="0.3">
      <c r="A1271" s="1">
        <v>42024</v>
      </c>
      <c r="B1271" t="s">
        <v>0</v>
      </c>
      <c r="C1271">
        <v>505.5144042</v>
      </c>
      <c r="D1271" s="2">
        <f t="shared" si="115"/>
        <v>-2.3224466414884307E-3</v>
      </c>
      <c r="E1271" s="2">
        <f t="shared" ca="1" si="116"/>
        <v>2.6974783318136137</v>
      </c>
      <c r="F1271">
        <f t="shared" ca="1" si="117"/>
        <v>2.6925970261805032</v>
      </c>
      <c r="G1271" s="3">
        <f t="shared" ca="1" si="120"/>
        <v>1.798652709477278</v>
      </c>
      <c r="H1271">
        <f t="shared" ca="1" si="118"/>
        <v>1.4970077391777439</v>
      </c>
      <c r="I1271">
        <f t="shared" ca="1" si="119"/>
        <v>-1.9810130742001377</v>
      </c>
    </row>
    <row r="1272" spans="1:9" x14ac:dyDescent="0.3">
      <c r="A1272" s="1">
        <v>42025</v>
      </c>
      <c r="B1272" t="s">
        <v>0</v>
      </c>
      <c r="C1272">
        <v>516.62398189999999</v>
      </c>
      <c r="D1272" s="2">
        <f t="shared" si="115"/>
        <v>2.1976777729175515E-2</v>
      </c>
      <c r="E1272" s="2">
        <f t="shared" ca="1" si="116"/>
        <v>-1.220409318053852</v>
      </c>
      <c r="F1272">
        <f t="shared" ca="1" si="117"/>
        <v>-1.2275224109247385</v>
      </c>
      <c r="G1272" s="3">
        <f t="shared" ca="1" si="120"/>
        <v>1.8071907803874974</v>
      </c>
      <c r="H1272">
        <f t="shared" ca="1" si="118"/>
        <v>-0.67924340044581977</v>
      </c>
      <c r="I1272">
        <f t="shared" ca="1" si="119"/>
        <v>-0.41031620614523839</v>
      </c>
    </row>
    <row r="1273" spans="1:9" x14ac:dyDescent="0.3">
      <c r="A1273" s="1">
        <v>42026</v>
      </c>
      <c r="B1273" t="s">
        <v>0</v>
      </c>
      <c r="C1273">
        <v>532.92923080000003</v>
      </c>
      <c r="D1273" s="2">
        <f t="shared" si="115"/>
        <v>3.1561153704157997E-2</v>
      </c>
      <c r="E1273" s="2">
        <f t="shared" ca="1" si="116"/>
        <v>-1.6969875016178422</v>
      </c>
      <c r="F1273">
        <f t="shared" ca="1" si="117"/>
        <v>-1.7020940373772704</v>
      </c>
      <c r="G1273" s="3">
        <f t="shared" ca="1" si="120"/>
        <v>1.8037397018875843</v>
      </c>
      <c r="H1273">
        <f t="shared" ca="1" si="118"/>
        <v>-0.94364726550957245</v>
      </c>
      <c r="I1273">
        <f t="shared" ca="1" si="119"/>
        <v>-1.0640623853964435</v>
      </c>
    </row>
    <row r="1274" spans="1:9" x14ac:dyDescent="0.3">
      <c r="A1274" s="1">
        <v>42027</v>
      </c>
      <c r="B1274" t="s">
        <v>0</v>
      </c>
      <c r="C1274">
        <v>538.47405649999996</v>
      </c>
      <c r="D1274" s="2">
        <f t="shared" si="115"/>
        <v>1.0404431544646908E-2</v>
      </c>
      <c r="E1274" s="2">
        <f t="shared" ca="1" si="116"/>
        <v>-4.5766634101914896</v>
      </c>
      <c r="F1274">
        <f t="shared" ca="1" si="117"/>
        <v>-4.5997587224085592</v>
      </c>
      <c r="G1274" s="3">
        <f t="shared" ca="1" si="120"/>
        <v>1.8031971889963705</v>
      </c>
      <c r="H1274">
        <f t="shared" ca="1" si="118"/>
        <v>-2.5508905795093373</v>
      </c>
      <c r="I1274">
        <f t="shared" ca="1" si="119"/>
        <v>-3.0520128173631851</v>
      </c>
    </row>
    <row r="1275" spans="1:9" x14ac:dyDescent="0.3">
      <c r="A1275" s="1">
        <v>42030</v>
      </c>
      <c r="B1275" t="s">
        <v>0</v>
      </c>
      <c r="C1275">
        <v>533.74704550000001</v>
      </c>
      <c r="D1275" s="2">
        <f t="shared" si="115"/>
        <v>-8.7785306328865779E-3</v>
      </c>
      <c r="E1275" s="2">
        <f t="shared" ca="1" si="116"/>
        <v>-2.2027105209286684</v>
      </c>
      <c r="F1275">
        <f t="shared" ca="1" si="117"/>
        <v>-2.2254657890315062</v>
      </c>
      <c r="G1275" s="3">
        <f t="shared" ca="1" si="120"/>
        <v>1.8397280785442516</v>
      </c>
      <c r="H1275">
        <f t="shared" ca="1" si="118"/>
        <v>-1.209671045947444</v>
      </c>
      <c r="I1275">
        <f t="shared" ca="1" si="119"/>
        <v>-1.5999480339090324</v>
      </c>
    </row>
    <row r="1276" spans="1:9" x14ac:dyDescent="0.3">
      <c r="A1276" s="1">
        <v>42031</v>
      </c>
      <c r="B1276" t="s">
        <v>0</v>
      </c>
      <c r="C1276">
        <v>517.21236350000004</v>
      </c>
      <c r="D1276" s="2">
        <f t="shared" si="115"/>
        <v>-3.097849840931808E-2</v>
      </c>
      <c r="E1276" s="2">
        <f t="shared" ca="1" si="116"/>
        <v>2.154023175949658</v>
      </c>
      <c r="F1276">
        <f t="shared" ca="1" si="117"/>
        <v>2.1501618252388552</v>
      </c>
      <c r="G1276" s="3">
        <f t="shared" ca="1" si="120"/>
        <v>1.8423917511009076</v>
      </c>
      <c r="H1276">
        <f t="shared" ca="1" si="118"/>
        <v>1.1670492032728881</v>
      </c>
      <c r="I1276">
        <f t="shared" ca="1" si="119"/>
        <v>-1.5312937903380632</v>
      </c>
    </row>
    <row r="1277" spans="1:9" x14ac:dyDescent="0.3">
      <c r="A1277" s="1">
        <v>42032</v>
      </c>
      <c r="B1277" t="s">
        <v>0</v>
      </c>
      <c r="C1277">
        <v>508.60594040000001</v>
      </c>
      <c r="D1277" s="2">
        <f t="shared" si="115"/>
        <v>-1.6640018118979145E-2</v>
      </c>
      <c r="E1277" s="2">
        <f t="shared" ca="1" si="116"/>
        <v>-1.6934863170599463</v>
      </c>
      <c r="F1277">
        <f t="shared" ca="1" si="117"/>
        <v>-1.6787832373980021</v>
      </c>
      <c r="G1277" s="3">
        <f t="shared" ca="1" si="120"/>
        <v>1.8443509495068766</v>
      </c>
      <c r="H1277">
        <f t="shared" ca="1" si="118"/>
        <v>-0.91022982250035311</v>
      </c>
      <c r="I1277">
        <f t="shared" ca="1" si="119"/>
        <v>-1.0362367818958398</v>
      </c>
    </row>
    <row r="1278" spans="1:9" x14ac:dyDescent="0.3">
      <c r="A1278" s="1">
        <v>42033</v>
      </c>
      <c r="B1278" t="s">
        <v>0</v>
      </c>
      <c r="C1278">
        <v>509.26411539999998</v>
      </c>
      <c r="D1278" s="2">
        <f t="shared" si="115"/>
        <v>1.2940765093745088E-3</v>
      </c>
      <c r="E1278" s="2">
        <f t="shared" ca="1" si="116"/>
        <v>2.62934497572112</v>
      </c>
      <c r="F1278">
        <f t="shared" ca="1" si="117"/>
        <v>2.6535966627140386</v>
      </c>
      <c r="G1278" s="3">
        <f t="shared" ca="1" si="120"/>
        <v>1.8428021088845303</v>
      </c>
      <c r="H1278">
        <f t="shared" ca="1" si="118"/>
        <v>1.4399791762341165</v>
      </c>
      <c r="I1278">
        <f t="shared" ca="1" si="119"/>
        <v>-1.9518321398313758</v>
      </c>
    </row>
    <row r="1279" spans="1:9" x14ac:dyDescent="0.3">
      <c r="A1279" s="1">
        <v>42034</v>
      </c>
      <c r="B1279" t="s">
        <v>0</v>
      </c>
      <c r="C1279">
        <v>533.05893170000002</v>
      </c>
      <c r="D1279" s="2">
        <f t="shared" si="115"/>
        <v>4.672392100768865E-2</v>
      </c>
      <c r="E1279" s="2">
        <f t="shared" ca="1" si="116"/>
        <v>-3.8213699249567155</v>
      </c>
      <c r="F1279">
        <f t="shared" ca="1" si="117"/>
        <v>-3.8113940895166953</v>
      </c>
      <c r="G1279" s="3">
        <f t="shared" ca="1" si="120"/>
        <v>1.8493844465897977</v>
      </c>
      <c r="H1279">
        <f t="shared" ca="1" si="118"/>
        <v>-2.0608987474425757</v>
      </c>
      <c r="I1279">
        <f t="shared" ca="1" si="119"/>
        <v>-2.6761403332894873</v>
      </c>
    </row>
    <row r="1280" spans="1:9" x14ac:dyDescent="0.3">
      <c r="A1280" s="1">
        <v>42037</v>
      </c>
      <c r="B1280" t="s">
        <v>0</v>
      </c>
      <c r="C1280">
        <v>527.03540529999998</v>
      </c>
      <c r="D1280" s="2">
        <f t="shared" si="115"/>
        <v>-1.1299925846454093E-2</v>
      </c>
      <c r="E1280" s="2">
        <f t="shared" ca="1" si="116"/>
        <v>0.21464810434907861</v>
      </c>
      <c r="F1280">
        <f t="shared" ca="1" si="117"/>
        <v>0.19991082868818499</v>
      </c>
      <c r="G1280" s="3">
        <f t="shared" ca="1" si="120"/>
        <v>1.8698677827270933</v>
      </c>
      <c r="H1280">
        <f t="shared" ca="1" si="118"/>
        <v>0.10691174559766289</v>
      </c>
      <c r="I1280">
        <f t="shared" ca="1" si="119"/>
        <v>3.2165726802914527</v>
      </c>
    </row>
    <row r="1281" spans="1:9" x14ac:dyDescent="0.3">
      <c r="A1281" s="1">
        <v>42038</v>
      </c>
      <c r="B1281" t="s">
        <v>0</v>
      </c>
      <c r="C1281">
        <v>527.79334340000003</v>
      </c>
      <c r="D1281" s="2">
        <f t="shared" si="115"/>
        <v>1.4381160969036072E-3</v>
      </c>
      <c r="E1281" s="2">
        <f t="shared" ca="1" si="116"/>
        <v>0.42399314387037146</v>
      </c>
      <c r="F1281">
        <f t="shared" ca="1" si="117"/>
        <v>0.39826755992302637</v>
      </c>
      <c r="G1281" s="3">
        <f t="shared" ca="1" si="120"/>
        <v>1.8626876870631508</v>
      </c>
      <c r="H1281">
        <f t="shared" ca="1" si="118"/>
        <v>0.21381338519017326</v>
      </c>
      <c r="I1281">
        <f t="shared" ca="1" si="119"/>
        <v>1.8412494380895543</v>
      </c>
    </row>
    <row r="1282" spans="1:9" x14ac:dyDescent="0.3">
      <c r="A1282" s="1">
        <v>42039</v>
      </c>
      <c r="B1282" t="s">
        <v>0</v>
      </c>
      <c r="C1282">
        <v>521.33103459999995</v>
      </c>
      <c r="D1282" s="2">
        <f t="shared" si="115"/>
        <v>-1.2244013458696594E-2</v>
      </c>
      <c r="E1282" s="2">
        <f t="shared" ca="1" si="116"/>
        <v>-1.2651713923897174</v>
      </c>
      <c r="F1282">
        <f t="shared" ca="1" si="117"/>
        <v>-1.2585637624003494</v>
      </c>
      <c r="G1282" s="3">
        <f t="shared" ca="1" si="120"/>
        <v>1.8558122619351212</v>
      </c>
      <c r="H1282">
        <f t="shared" ca="1" si="118"/>
        <v>-0.67817407407794605</v>
      </c>
      <c r="I1282">
        <f t="shared" ca="1" si="119"/>
        <v>-0.46003704429633518</v>
      </c>
    </row>
    <row r="1283" spans="1:9" x14ac:dyDescent="0.3">
      <c r="A1283" s="1">
        <v>42040</v>
      </c>
      <c r="B1283" t="s">
        <v>0</v>
      </c>
      <c r="C1283">
        <v>526.13787950000005</v>
      </c>
      <c r="D1283" s="2">
        <f t="shared" si="115"/>
        <v>9.2203313844306887E-3</v>
      </c>
      <c r="E1283" s="2">
        <f t="shared" ca="1" si="116"/>
        <v>-0.11844590798404937</v>
      </c>
      <c r="F1283">
        <f t="shared" ca="1" si="117"/>
        <v>-0.11569067646139031</v>
      </c>
      <c r="G1283" s="3">
        <f t="shared" ca="1" si="120"/>
        <v>1.8517073170719773</v>
      </c>
      <c r="H1283">
        <f t="shared" ca="1" si="118"/>
        <v>-6.2477841608536082E-2</v>
      </c>
      <c r="I1283">
        <f t="shared" ca="1" si="119"/>
        <v>4.3073186704929425</v>
      </c>
    </row>
    <row r="1284" spans="1:9" x14ac:dyDescent="0.3">
      <c r="A1284" s="1">
        <v>42041</v>
      </c>
      <c r="B1284" t="s">
        <v>0</v>
      </c>
      <c r="C1284">
        <v>529.54853949999995</v>
      </c>
      <c r="D1284" s="2">
        <f t="shared" ref="D1284:D1347" si="121">(C1284-C1283)/C1283</f>
        <v>6.4824452541624939E-3</v>
      </c>
      <c r="E1284" s="2">
        <f t="shared" ca="1" si="116"/>
        <v>1.6890691013206813</v>
      </c>
      <c r="F1284">
        <f t="shared" ca="1" si="117"/>
        <v>1.6939442238988101</v>
      </c>
      <c r="G1284" s="3">
        <f t="shared" ca="1" si="120"/>
        <v>1.8446875510136067</v>
      </c>
      <c r="H1284">
        <f t="shared" ca="1" si="118"/>
        <v>0.91828246087963938</v>
      </c>
      <c r="I1284">
        <f t="shared" ca="1" si="119"/>
        <v>-1.0541339846835296</v>
      </c>
    </row>
    <row r="1285" spans="1:9" x14ac:dyDescent="0.3">
      <c r="A1285" s="1">
        <v>42044</v>
      </c>
      <c r="B1285" t="s">
        <v>0</v>
      </c>
      <c r="C1285">
        <v>526.38720990000002</v>
      </c>
      <c r="D1285" s="2">
        <f t="shared" si="121"/>
        <v>-5.969858028472442E-3</v>
      </c>
      <c r="E1285" s="2">
        <f t="shared" ca="1" si="116"/>
        <v>-0.38908847182385892</v>
      </c>
      <c r="F1285">
        <f t="shared" ca="1" si="117"/>
        <v>-0.39676278287386318</v>
      </c>
      <c r="G1285" s="3">
        <f t="shared" ca="1" si="120"/>
        <v>1.8432298545054087</v>
      </c>
      <c r="H1285">
        <f t="shared" ca="1" si="118"/>
        <v>-0.21525409970116072</v>
      </c>
      <c r="I1285">
        <f t="shared" ca="1" si="119"/>
        <v>1.8486070076164303</v>
      </c>
    </row>
    <row r="1286" spans="1:9" x14ac:dyDescent="0.3">
      <c r="A1286" s="1">
        <v>42045</v>
      </c>
      <c r="B1286" t="s">
        <v>0</v>
      </c>
      <c r="C1286">
        <v>535.47227290000001</v>
      </c>
      <c r="D1286" s="2">
        <f t="shared" si="121"/>
        <v>1.725927763656324E-2</v>
      </c>
      <c r="E1286" s="2">
        <f t="shared" ref="E1286:E1349" ca="1" si="122">$N$9*D1285+$N$10*D1284+F1286</f>
        <v>-1.2497694883610022</v>
      </c>
      <c r="F1286">
        <f t="shared" ref="F1286:F1349" ca="1" si="123">G1286*H1286</f>
        <v>-1.2520260802647312</v>
      </c>
      <c r="G1286" s="3">
        <f t="shared" ca="1" si="120"/>
        <v>1.8365857555360399</v>
      </c>
      <c r="H1286">
        <f t="shared" ref="H1286:H1349" ca="1" si="124">_xlfn.NORM.S.INV(RAND())</f>
        <v>-0.68171392296315902</v>
      </c>
      <c r="I1286">
        <f t="shared" ref="I1286:I1349" ca="1" si="125">-LN(F1286^2)-(D1286^2)/(F1286^2)</f>
        <v>-0.44971623507228153</v>
      </c>
    </row>
    <row r="1287" spans="1:9" x14ac:dyDescent="0.3">
      <c r="A1287" s="1">
        <v>42046</v>
      </c>
      <c r="B1287" t="s">
        <v>0</v>
      </c>
      <c r="C1287">
        <v>534.50492169999995</v>
      </c>
      <c r="D1287" s="2">
        <f t="shared" si="121"/>
        <v>-1.8065383568062106E-3</v>
      </c>
      <c r="E1287" s="2">
        <f t="shared" ca="1" si="122"/>
        <v>0.9853719248646019</v>
      </c>
      <c r="F1287">
        <f t="shared" ca="1" si="123"/>
        <v>0.98394321562449816</v>
      </c>
      <c r="G1287" s="3">
        <f t="shared" ref="G1287:G1350" ca="1" si="126">SQRT($N$6+$N$7*(H1286^2)+$N$8*(G1286^2))</f>
        <v>1.8327654118199104</v>
      </c>
      <c r="H1287">
        <f t="shared" ca="1" si="124"/>
        <v>0.53686260624454729</v>
      </c>
      <c r="I1287">
        <f t="shared" ca="1" si="125"/>
        <v>3.2370811621972952E-2</v>
      </c>
    </row>
    <row r="1288" spans="1:9" x14ac:dyDescent="0.3">
      <c r="A1288" s="1">
        <v>42047</v>
      </c>
      <c r="B1288" t="s">
        <v>0</v>
      </c>
      <c r="C1288">
        <v>541.44593220000002</v>
      </c>
      <c r="D1288" s="2">
        <f t="shared" si="121"/>
        <v>1.2985868264644011E-2</v>
      </c>
      <c r="E1288" s="2">
        <f t="shared" ca="1" si="122"/>
        <v>-0.85084761255434016</v>
      </c>
      <c r="F1288">
        <f t="shared" ca="1" si="123"/>
        <v>-0.86105626043847716</v>
      </c>
      <c r="G1288" s="3">
        <f t="shared" ca="1" si="126"/>
        <v>1.8278354199609945</v>
      </c>
      <c r="H1288">
        <f t="shared" ca="1" si="124"/>
        <v>-0.47107975424661147</v>
      </c>
      <c r="I1288">
        <f t="shared" ca="1" si="125"/>
        <v>0.29896342078286847</v>
      </c>
    </row>
    <row r="1289" spans="1:9" x14ac:dyDescent="0.3">
      <c r="A1289" s="1">
        <v>42048</v>
      </c>
      <c r="B1289" t="s">
        <v>0</v>
      </c>
      <c r="C1289">
        <v>547.50931419999995</v>
      </c>
      <c r="D1289" s="2">
        <f t="shared" si="121"/>
        <v>1.119849949811837E-2</v>
      </c>
      <c r="E1289" s="2">
        <f t="shared" ca="1" si="122"/>
        <v>3.0562279240178902E-2</v>
      </c>
      <c r="F1289">
        <f t="shared" ca="1" si="123"/>
        <v>2.7815267577078345E-2</v>
      </c>
      <c r="G1289" s="3">
        <f t="shared" ca="1" si="126"/>
        <v>1.82253057214725</v>
      </c>
      <c r="H1289">
        <f t="shared" ca="1" si="124"/>
        <v>1.5261893546349263E-2</v>
      </c>
      <c r="I1289">
        <f t="shared" ca="1" si="125"/>
        <v>7.0022515646257082</v>
      </c>
    </row>
    <row r="1290" spans="1:9" x14ac:dyDescent="0.3">
      <c r="A1290" s="1">
        <v>42052</v>
      </c>
      <c r="B1290" t="s">
        <v>0</v>
      </c>
      <c r="C1290">
        <v>541.35614969999995</v>
      </c>
      <c r="D1290" s="2">
        <f t="shared" si="121"/>
        <v>-1.1238465429562191E-2</v>
      </c>
      <c r="E1290" s="2">
        <f t="shared" ca="1" si="122"/>
        <v>3.0100224630891654</v>
      </c>
      <c r="F1290">
        <f t="shared" ca="1" si="123"/>
        <v>2.9985972002673886</v>
      </c>
      <c r="G1290" s="3">
        <f t="shared" ca="1" si="126"/>
        <v>1.8158250074674933</v>
      </c>
      <c r="H1290">
        <f t="shared" ca="1" si="124"/>
        <v>1.6513690404834174</v>
      </c>
      <c r="I1290">
        <f t="shared" ca="1" si="125"/>
        <v>-2.196303205608479</v>
      </c>
    </row>
    <row r="1291" spans="1:9" x14ac:dyDescent="0.3">
      <c r="A1291" s="1">
        <v>42053</v>
      </c>
      <c r="B1291" t="s">
        <v>0</v>
      </c>
      <c r="C1291">
        <v>538.22472600000003</v>
      </c>
      <c r="D1291" s="2">
        <f t="shared" si="121"/>
        <v>-5.7844058883144414E-3</v>
      </c>
      <c r="E1291" s="2">
        <f t="shared" ca="1" si="122"/>
        <v>-0.37455937832011887</v>
      </c>
      <c r="F1291">
        <f t="shared" ca="1" si="123"/>
        <v>-0.37818172498090918</v>
      </c>
      <c r="G1291" s="3">
        <f t="shared" ca="1" si="126"/>
        <v>1.8272220118418749</v>
      </c>
      <c r="H1291">
        <f t="shared" ca="1" si="124"/>
        <v>-0.20697086754099175</v>
      </c>
      <c r="I1291">
        <f t="shared" ca="1" si="125"/>
        <v>1.9445269434991517</v>
      </c>
    </row>
    <row r="1292" spans="1:9" x14ac:dyDescent="0.3">
      <c r="A1292" s="1">
        <v>42054</v>
      </c>
      <c r="B1292" t="s">
        <v>0</v>
      </c>
      <c r="C1292">
        <v>541.38605659999996</v>
      </c>
      <c r="D1292" s="2">
        <f t="shared" si="121"/>
        <v>5.8736257315683566E-3</v>
      </c>
      <c r="E1292" s="2">
        <f t="shared" ca="1" si="122"/>
        <v>-2.012913288979048</v>
      </c>
      <c r="F1292">
        <f t="shared" ca="1" si="123"/>
        <v>-2.0041904237386463</v>
      </c>
      <c r="G1292" s="3">
        <f t="shared" ca="1" si="126"/>
        <v>1.8207430824027457</v>
      </c>
      <c r="H1292">
        <f t="shared" ca="1" si="124"/>
        <v>-1.1007541058971451</v>
      </c>
      <c r="I1292">
        <f t="shared" ca="1" si="125"/>
        <v>-1.3904889899092252</v>
      </c>
    </row>
    <row r="1293" spans="1:9" x14ac:dyDescent="0.3">
      <c r="A1293" s="1">
        <v>42055</v>
      </c>
      <c r="B1293" t="s">
        <v>0</v>
      </c>
      <c r="C1293">
        <v>537.47679849999997</v>
      </c>
      <c r="D1293" s="2">
        <f t="shared" si="121"/>
        <v>-7.2208326245984597E-3</v>
      </c>
      <c r="E1293" s="2">
        <f t="shared" ca="1" si="122"/>
        <v>-1.1365842805637023</v>
      </c>
      <c r="F1293">
        <f t="shared" ca="1" si="123"/>
        <v>-1.1347336623227575</v>
      </c>
      <c r="G1293" s="3">
        <f t="shared" ca="1" si="126"/>
        <v>1.8220666563131707</v>
      </c>
      <c r="H1293">
        <f t="shared" ca="1" si="124"/>
        <v>-0.62277285981338071</v>
      </c>
      <c r="I1293">
        <f t="shared" ca="1" si="125"/>
        <v>-0.25283642292758973</v>
      </c>
    </row>
    <row r="1294" spans="1:9" x14ac:dyDescent="0.3">
      <c r="A1294" s="1">
        <v>42058</v>
      </c>
      <c r="B1294" t="s">
        <v>0</v>
      </c>
      <c r="C1294">
        <v>530.45601399999998</v>
      </c>
      <c r="D1294" s="2">
        <f t="shared" si="121"/>
        <v>-1.3062488501073393E-2</v>
      </c>
      <c r="E1294" s="2">
        <f t="shared" ca="1" si="122"/>
        <v>1.4915076853953264</v>
      </c>
      <c r="F1294">
        <f t="shared" ca="1" si="123"/>
        <v>1.490003200789402</v>
      </c>
      <c r="G1294" s="3">
        <f t="shared" ca="1" si="126"/>
        <v>1.8179308621039461</v>
      </c>
      <c r="H1294">
        <f t="shared" ca="1" si="124"/>
        <v>0.8196148884699479</v>
      </c>
      <c r="I1294">
        <f t="shared" ca="1" si="125"/>
        <v>-0.79763339221189944</v>
      </c>
    </row>
    <row r="1295" spans="1:9" x14ac:dyDescent="0.3">
      <c r="A1295" s="1">
        <v>42059</v>
      </c>
      <c r="B1295" t="s">
        <v>0</v>
      </c>
      <c r="C1295">
        <v>534.62461210000004</v>
      </c>
      <c r="D1295" s="2">
        <f t="shared" si="121"/>
        <v>7.858517935475897E-3</v>
      </c>
      <c r="E1295" s="2">
        <f t="shared" ca="1" si="122"/>
        <v>-0.1243872570121831</v>
      </c>
      <c r="F1295">
        <f t="shared" ca="1" si="123"/>
        <v>-0.11599608574339049</v>
      </c>
      <c r="G1295" s="3">
        <f t="shared" ca="1" si="126"/>
        <v>1.8157293728710144</v>
      </c>
      <c r="H1295">
        <f t="shared" ca="1" si="124"/>
        <v>-6.3884016790441936E-2</v>
      </c>
      <c r="I1295">
        <f t="shared" ca="1" si="125"/>
        <v>4.3038078549090208</v>
      </c>
    </row>
    <row r="1296" spans="1:9" x14ac:dyDescent="0.3">
      <c r="A1296" s="1">
        <v>42060</v>
      </c>
      <c r="B1296" t="s">
        <v>0</v>
      </c>
      <c r="C1296">
        <v>542.38337539999998</v>
      </c>
      <c r="D1296" s="2">
        <f t="shared" si="121"/>
        <v>1.4512544174731497E-2</v>
      </c>
      <c r="E1296" s="2">
        <f t="shared" ca="1" si="122"/>
        <v>1.6142769588776058</v>
      </c>
      <c r="F1296">
        <f t="shared" ca="1" si="123"/>
        <v>1.6200677888687494</v>
      </c>
      <c r="G1296" s="3">
        <f t="shared" ca="1" si="126"/>
        <v>1.809128713841474</v>
      </c>
      <c r="H1296">
        <f t="shared" ca="1" si="124"/>
        <v>0.89549614489768625</v>
      </c>
      <c r="I1296">
        <f t="shared" ca="1" si="125"/>
        <v>-0.96501623220783672</v>
      </c>
    </row>
    <row r="1297" spans="1:9" x14ac:dyDescent="0.3">
      <c r="A1297" s="1">
        <v>42061</v>
      </c>
      <c r="B1297" t="s">
        <v>0</v>
      </c>
      <c r="C1297">
        <v>553.96161440000003</v>
      </c>
      <c r="D1297" s="2">
        <f t="shared" si="121"/>
        <v>2.134696512676346E-2</v>
      </c>
      <c r="E1297" s="2">
        <f t="shared" ca="1" si="122"/>
        <v>1.5317845612097905</v>
      </c>
      <c r="F1297">
        <f t="shared" ca="1" si="123"/>
        <v>1.5225639489149632</v>
      </c>
      <c r="G1297" s="3">
        <f t="shared" ca="1" si="126"/>
        <v>1.8079169238862447</v>
      </c>
      <c r="H1297">
        <f t="shared" ca="1" si="124"/>
        <v>0.84216477471879891</v>
      </c>
      <c r="I1297">
        <f t="shared" ca="1" si="125"/>
        <v>-0.84098801637428078</v>
      </c>
    </row>
    <row r="1298" spans="1:9" x14ac:dyDescent="0.3">
      <c r="A1298" s="1">
        <v>42062</v>
      </c>
      <c r="B1298" t="s">
        <v>0</v>
      </c>
      <c r="C1298">
        <v>556.87361450000003</v>
      </c>
      <c r="D1298" s="2">
        <f t="shared" si="121"/>
        <v>5.2566820954805856E-3</v>
      </c>
      <c r="E1298" s="2">
        <f t="shared" ca="1" si="122"/>
        <v>-3.1036389061396906E-2</v>
      </c>
      <c r="F1298">
        <f t="shared" ca="1" si="123"/>
        <v>-4.6438229656028229E-2</v>
      </c>
      <c r="G1298" s="3">
        <f t="shared" ca="1" si="126"/>
        <v>1.8061062942400379</v>
      </c>
      <c r="H1298">
        <f t="shared" ca="1" si="124"/>
        <v>-2.5711792159812064E-2</v>
      </c>
      <c r="I1298">
        <f t="shared" ca="1" si="125"/>
        <v>6.1264508598116718</v>
      </c>
    </row>
    <row r="1299" spans="1:9" x14ac:dyDescent="0.3">
      <c r="A1299" s="1">
        <v>42065</v>
      </c>
      <c r="B1299" t="s">
        <v>0</v>
      </c>
      <c r="C1299">
        <v>569.7782747</v>
      </c>
      <c r="D1299" s="2">
        <f t="shared" si="121"/>
        <v>2.3173409305065874E-2</v>
      </c>
      <c r="E1299" s="2">
        <f t="shared" ca="1" si="122"/>
        <v>-3.3054459110096608</v>
      </c>
      <c r="F1299">
        <f t="shared" ca="1" si="123"/>
        <v>-3.3203059566331481</v>
      </c>
      <c r="G1299" s="3">
        <f t="shared" ca="1" si="126"/>
        <v>1.7995955364546055</v>
      </c>
      <c r="H1299">
        <f t="shared" ca="1" si="124"/>
        <v>-1.8450290020025855</v>
      </c>
      <c r="I1299">
        <f t="shared" ca="1" si="125"/>
        <v>-2.4001625792092849</v>
      </c>
    </row>
    <row r="1300" spans="1:9" x14ac:dyDescent="0.3">
      <c r="A1300" s="1">
        <v>42066</v>
      </c>
      <c r="B1300" t="s">
        <v>0</v>
      </c>
      <c r="C1300">
        <v>572.07198640000001</v>
      </c>
      <c r="D1300" s="2">
        <f t="shared" si="121"/>
        <v>4.0256215476234215E-3</v>
      </c>
      <c r="E1300" s="2">
        <f t="shared" ca="1" si="122"/>
        <v>1.5463802543171732</v>
      </c>
      <c r="F1300">
        <f t="shared" ca="1" si="123"/>
        <v>1.5361974259406879</v>
      </c>
      <c r="G1300" s="3">
        <f t="shared" ca="1" si="126"/>
        <v>1.8158294918818201</v>
      </c>
      <c r="H1300">
        <f t="shared" ca="1" si="124"/>
        <v>0.84600312573878411</v>
      </c>
      <c r="I1300">
        <f t="shared" ca="1" si="125"/>
        <v>-0.85862718503420166</v>
      </c>
    </row>
    <row r="1301" spans="1:9" x14ac:dyDescent="0.3">
      <c r="A1301" s="1">
        <v>42067</v>
      </c>
      <c r="B1301" t="s">
        <v>0</v>
      </c>
      <c r="C1301">
        <v>571.80269869999995</v>
      </c>
      <c r="D1301" s="2">
        <f t="shared" si="121"/>
        <v>-4.7072345159683126E-4</v>
      </c>
      <c r="E1301" s="2">
        <f t="shared" ca="1" si="122"/>
        <v>-1.6725401168774847</v>
      </c>
      <c r="F1301">
        <f t="shared" ca="1" si="123"/>
        <v>-1.6881704235487489</v>
      </c>
      <c r="G1301" s="3">
        <f t="shared" ca="1" si="126"/>
        <v>1.8139488713451006</v>
      </c>
      <c r="H1301">
        <f t="shared" ca="1" si="124"/>
        <v>-0.93066042280283068</v>
      </c>
      <c r="I1301">
        <f t="shared" ca="1" si="125"/>
        <v>-1.0472907835406535</v>
      </c>
    </row>
    <row r="1302" spans="1:9" x14ac:dyDescent="0.3">
      <c r="A1302" s="1">
        <v>42068</v>
      </c>
      <c r="B1302" t="s">
        <v>0</v>
      </c>
      <c r="C1302">
        <v>573.7573582</v>
      </c>
      <c r="D1302" s="2">
        <f t="shared" si="121"/>
        <v>3.4184160103546014E-3</v>
      </c>
      <c r="E1302" s="2">
        <f t="shared" ca="1" si="122"/>
        <v>2.7723401215902577</v>
      </c>
      <c r="F1302">
        <f t="shared" ca="1" si="123"/>
        <v>2.7699737338116415</v>
      </c>
      <c r="G1302" s="3">
        <f t="shared" ca="1" si="126"/>
        <v>1.8130923830647012</v>
      </c>
      <c r="H1302">
        <f t="shared" ca="1" si="124"/>
        <v>1.527762048798367</v>
      </c>
      <c r="I1302">
        <f t="shared" ca="1" si="125"/>
        <v>-2.0376771985468101</v>
      </c>
    </row>
    <row r="1303" spans="1:9" x14ac:dyDescent="0.3">
      <c r="A1303" s="1">
        <v>42069</v>
      </c>
      <c r="B1303" t="s">
        <v>0</v>
      </c>
      <c r="C1303">
        <v>566.13323920000005</v>
      </c>
      <c r="D1303" s="2">
        <f t="shared" si="121"/>
        <v>-1.3288054420632528E-2</v>
      </c>
      <c r="E1303" s="2">
        <f t="shared" ca="1" si="122"/>
        <v>0.17675022199714019</v>
      </c>
      <c r="F1303">
        <f t="shared" ca="1" si="123"/>
        <v>0.17602408642024245</v>
      </c>
      <c r="G1303" s="3">
        <f t="shared" ca="1" si="126"/>
        <v>1.8219576601730707</v>
      </c>
      <c r="H1303">
        <f t="shared" ca="1" si="124"/>
        <v>9.6612610857006218E-2</v>
      </c>
      <c r="I1303">
        <f t="shared" ca="1" si="125"/>
        <v>3.4685701405081071</v>
      </c>
    </row>
    <row r="1304" spans="1:9" x14ac:dyDescent="0.3">
      <c r="A1304" s="1">
        <v>42072</v>
      </c>
      <c r="B1304" t="s">
        <v>0</v>
      </c>
      <c r="C1304">
        <v>567.29504840000004</v>
      </c>
      <c r="D1304" s="2">
        <f t="shared" si="121"/>
        <v>2.0521833369857244E-3</v>
      </c>
      <c r="E1304" s="2">
        <f t="shared" ca="1" si="122"/>
        <v>1.0683630939544715</v>
      </c>
      <c r="F1304">
        <f t="shared" ca="1" si="123"/>
        <v>1.070196496193923</v>
      </c>
      <c r="G1304" s="3">
        <f t="shared" ca="1" si="126"/>
        <v>1.8153190269513</v>
      </c>
      <c r="H1304">
        <f t="shared" ca="1" si="124"/>
        <v>0.58953631857825139</v>
      </c>
      <c r="I1304">
        <f t="shared" ca="1" si="125"/>
        <v>-0.13568822293159954</v>
      </c>
    </row>
    <row r="1305" spans="1:9" x14ac:dyDescent="0.3">
      <c r="A1305" s="1">
        <v>42073</v>
      </c>
      <c r="B1305" t="s">
        <v>0</v>
      </c>
      <c r="C1305">
        <v>553.49292319999995</v>
      </c>
      <c r="D1305" s="2">
        <f t="shared" si="121"/>
        <v>-2.4329712094134488E-2</v>
      </c>
      <c r="E1305" s="2">
        <f t="shared" ca="1" si="122"/>
        <v>-1.4074879835902043</v>
      </c>
      <c r="F1305">
        <f t="shared" ca="1" si="123"/>
        <v>-1.3998254461322408</v>
      </c>
      <c r="G1305" s="3">
        <f t="shared" ca="1" si="126"/>
        <v>1.8110040222106052</v>
      </c>
      <c r="H1305">
        <f t="shared" ca="1" si="124"/>
        <v>-0.77295545949342592</v>
      </c>
      <c r="I1305">
        <f t="shared" ca="1" si="125"/>
        <v>-0.67299717794821479</v>
      </c>
    </row>
    <row r="1306" spans="1:9" x14ac:dyDescent="0.3">
      <c r="A1306" s="1">
        <v>42074</v>
      </c>
      <c r="B1306" t="s">
        <v>0</v>
      </c>
      <c r="C1306">
        <v>549.67338670000004</v>
      </c>
      <c r="D1306" s="2">
        <f t="shared" si="121"/>
        <v>-6.9007865139763605E-3</v>
      </c>
      <c r="E1306" s="2">
        <f t="shared" ca="1" si="122"/>
        <v>0.75644744547126153</v>
      </c>
      <c r="F1306">
        <f t="shared" ca="1" si="123"/>
        <v>0.76242383700945171</v>
      </c>
      <c r="G1306" s="3">
        <f t="shared" ca="1" si="126"/>
        <v>1.8084065419192974</v>
      </c>
      <c r="H1306">
        <f t="shared" ca="1" si="124"/>
        <v>0.42159980034150746</v>
      </c>
      <c r="I1306">
        <f t="shared" ca="1" si="125"/>
        <v>0.54242340005844136</v>
      </c>
    </row>
    <row r="1307" spans="1:9" x14ac:dyDescent="0.3">
      <c r="A1307" s="1">
        <v>42075</v>
      </c>
      <c r="B1307" t="s">
        <v>0</v>
      </c>
      <c r="C1307">
        <v>553.99152130000004</v>
      </c>
      <c r="D1307" s="2">
        <f t="shared" si="121"/>
        <v>7.8558189362672431E-3</v>
      </c>
      <c r="E1307" s="2">
        <f t="shared" ca="1" si="122"/>
        <v>-0.32580808077392615</v>
      </c>
      <c r="F1307">
        <f t="shared" ca="1" si="123"/>
        <v>-0.30860047334548019</v>
      </c>
      <c r="G1307" s="3">
        <f t="shared" ca="1" si="126"/>
        <v>1.8030496073775046</v>
      </c>
      <c r="H1307">
        <f t="shared" ca="1" si="124"/>
        <v>-0.17115473256131464</v>
      </c>
      <c r="I1307">
        <f t="shared" ca="1" si="125"/>
        <v>2.3507675884061476</v>
      </c>
    </row>
    <row r="1308" spans="1:9" x14ac:dyDescent="0.3">
      <c r="A1308" s="1">
        <v>42076</v>
      </c>
      <c r="B1308" t="s">
        <v>0</v>
      </c>
      <c r="C1308">
        <v>545.82394339999996</v>
      </c>
      <c r="D1308" s="2">
        <f t="shared" si="121"/>
        <v>-1.4743146033776822E-2</v>
      </c>
      <c r="E1308" s="2">
        <f t="shared" ca="1" si="122"/>
        <v>3.8235615921149826</v>
      </c>
      <c r="F1308">
        <f t="shared" ca="1" si="123"/>
        <v>3.8255163553747638</v>
      </c>
      <c r="G1308" s="3">
        <f t="shared" ca="1" si="126"/>
        <v>1.7967662441767327</v>
      </c>
      <c r="H1308">
        <f t="shared" ca="1" si="124"/>
        <v>2.129111879618816</v>
      </c>
      <c r="I1308">
        <f t="shared" ca="1" si="125"/>
        <v>-2.6834017585956058</v>
      </c>
    </row>
    <row r="1309" spans="1:9" x14ac:dyDescent="0.3">
      <c r="A1309" s="1">
        <v>42079</v>
      </c>
      <c r="B1309" t="s">
        <v>0</v>
      </c>
      <c r="C1309">
        <v>552.99426329999994</v>
      </c>
      <c r="D1309" s="2">
        <f t="shared" si="121"/>
        <v>1.3136689928505583E-2</v>
      </c>
      <c r="E1309" s="2">
        <f t="shared" ca="1" si="122"/>
        <v>2.3367991710985985</v>
      </c>
      <c r="F1309">
        <f t="shared" ca="1" si="123"/>
        <v>2.3363032752215545</v>
      </c>
      <c r="G1309" s="3">
        <f t="shared" ca="1" si="126"/>
        <v>1.8205369223060337</v>
      </c>
      <c r="H1309">
        <f t="shared" ca="1" si="124"/>
        <v>1.2833045276896724</v>
      </c>
      <c r="I1309">
        <f t="shared" ca="1" si="125"/>
        <v>-1.6971713829976471</v>
      </c>
    </row>
    <row r="1310" spans="1:9" x14ac:dyDescent="0.3">
      <c r="A1310" s="1">
        <v>42080</v>
      </c>
      <c r="B1310" t="s">
        <v>0</v>
      </c>
      <c r="C1310">
        <v>549.33427380000001</v>
      </c>
      <c r="D1310" s="2">
        <f t="shared" si="121"/>
        <v>-6.618494517753053E-3</v>
      </c>
      <c r="E1310" s="2">
        <f t="shared" ca="1" si="122"/>
        <v>-0.32685501262353683</v>
      </c>
      <c r="F1310">
        <f t="shared" ca="1" si="123"/>
        <v>-0.32159141121444401</v>
      </c>
      <c r="G1310" s="3">
        <f t="shared" ca="1" si="126"/>
        <v>1.8247325567386583</v>
      </c>
      <c r="H1310">
        <f t="shared" ca="1" si="124"/>
        <v>-0.17624029890123946</v>
      </c>
      <c r="I1310">
        <f t="shared" ca="1" si="125"/>
        <v>2.2685233421756501</v>
      </c>
    </row>
    <row r="1311" spans="1:9" x14ac:dyDescent="0.3">
      <c r="A1311" s="1">
        <v>42081</v>
      </c>
      <c r="B1311" t="s">
        <v>0</v>
      </c>
      <c r="C1311">
        <v>557.97060469999997</v>
      </c>
      <c r="D1311" s="2">
        <f t="shared" si="121"/>
        <v>1.5721449237562503E-2</v>
      </c>
      <c r="E1311" s="2">
        <f t="shared" ca="1" si="122"/>
        <v>-0.72188634346273239</v>
      </c>
      <c r="F1311">
        <f t="shared" ca="1" si="123"/>
        <v>-0.72809311056635284</v>
      </c>
      <c r="G1311" s="3">
        <f t="shared" ca="1" si="126"/>
        <v>1.8182051339477028</v>
      </c>
      <c r="H1311">
        <f t="shared" ca="1" si="124"/>
        <v>-0.40044607562267232</v>
      </c>
      <c r="I1311">
        <f t="shared" ca="1" si="125"/>
        <v>0.63418643775524797</v>
      </c>
    </row>
    <row r="1312" spans="1:9" x14ac:dyDescent="0.3">
      <c r="A1312" s="1">
        <v>42082</v>
      </c>
      <c r="B1312" t="s">
        <v>0</v>
      </c>
      <c r="C1312">
        <v>556.46473809999998</v>
      </c>
      <c r="D1312" s="2">
        <f t="shared" si="121"/>
        <v>-2.6988278366557299E-3</v>
      </c>
      <c r="E1312" s="2">
        <f t="shared" ca="1" si="122"/>
        <v>-4.2387193045375646</v>
      </c>
      <c r="F1312">
        <f t="shared" ca="1" si="123"/>
        <v>-4.2392855826956852</v>
      </c>
      <c r="G1312" s="3">
        <f t="shared" ca="1" si="126"/>
        <v>1.8126120221098605</v>
      </c>
      <c r="H1312">
        <f t="shared" ca="1" si="124"/>
        <v>-2.3387716350690444</v>
      </c>
      <c r="I1312">
        <f t="shared" ca="1" si="125"/>
        <v>-2.8887899260887933</v>
      </c>
    </row>
    <row r="1313" spans="1:9" x14ac:dyDescent="0.3">
      <c r="A1313" s="1">
        <v>42083</v>
      </c>
      <c r="B1313" t="s">
        <v>0</v>
      </c>
      <c r="C1313">
        <v>558.82827399999996</v>
      </c>
      <c r="D1313" s="2">
        <f t="shared" si="121"/>
        <v>4.2474136062422823E-3</v>
      </c>
      <c r="E1313" s="2">
        <f t="shared" ca="1" si="122"/>
        <v>2.5367603911586265</v>
      </c>
      <c r="F1313">
        <f t="shared" ca="1" si="123"/>
        <v>2.5277753938260608</v>
      </c>
      <c r="G1313" s="3">
        <f t="shared" ca="1" si="126"/>
        <v>1.8420613933987053</v>
      </c>
      <c r="H1313">
        <f t="shared" ca="1" si="124"/>
        <v>1.3722536083133337</v>
      </c>
      <c r="I1313">
        <f t="shared" ca="1" si="125"/>
        <v>-1.854682073315302</v>
      </c>
    </row>
    <row r="1314" spans="1:9" x14ac:dyDescent="0.3">
      <c r="A1314" s="1">
        <v>42086</v>
      </c>
      <c r="B1314" t="s">
        <v>0</v>
      </c>
      <c r="C1314">
        <v>557.28249089999997</v>
      </c>
      <c r="D1314" s="2">
        <f t="shared" si="121"/>
        <v>-2.7661146937600985E-3</v>
      </c>
      <c r="E1314" s="2">
        <f t="shared" ca="1" si="122"/>
        <v>0.88310011536343991</v>
      </c>
      <c r="F1314">
        <f t="shared" ca="1" si="123"/>
        <v>0.8835142345958753</v>
      </c>
      <c r="G1314" s="3">
        <f t="shared" ca="1" si="126"/>
        <v>1.8474190134163493</v>
      </c>
      <c r="H1314">
        <f t="shared" ca="1" si="124"/>
        <v>0.47824247135035813</v>
      </c>
      <c r="I1314">
        <f t="shared" ca="1" si="125"/>
        <v>0.24768594954285814</v>
      </c>
    </row>
    <row r="1315" spans="1:9" x14ac:dyDescent="0.3">
      <c r="A1315" s="1">
        <v>42087</v>
      </c>
      <c r="B1315" t="s">
        <v>0</v>
      </c>
      <c r="C1315">
        <v>568.63141940000003</v>
      </c>
      <c r="D1315" s="2">
        <f t="shared" si="121"/>
        <v>2.0364767753014754E-2</v>
      </c>
      <c r="E1315" s="2">
        <f t="shared" ca="1" si="122"/>
        <v>1.9763727762127645</v>
      </c>
      <c r="F1315">
        <f t="shared" ca="1" si="123"/>
        <v>1.9745526855926434</v>
      </c>
      <c r="G1315" s="3">
        <f t="shared" ca="1" si="126"/>
        <v>1.8419162646548481</v>
      </c>
      <c r="H1315">
        <f t="shared" ca="1" si="124"/>
        <v>1.0720100166782824</v>
      </c>
      <c r="I1315">
        <f t="shared" ca="1" si="125"/>
        <v>-1.3607901393525894</v>
      </c>
    </row>
    <row r="1316" spans="1:9" x14ac:dyDescent="0.3">
      <c r="A1316" s="1">
        <v>42088</v>
      </c>
      <c r="B1316" t="s">
        <v>0</v>
      </c>
      <c r="C1316">
        <v>557.25758829999995</v>
      </c>
      <c r="D1316" s="2">
        <f t="shared" si="121"/>
        <v>-2.0002115099445866E-2</v>
      </c>
      <c r="E1316" s="2">
        <f t="shared" ca="1" si="122"/>
        <v>-0.22263553064342265</v>
      </c>
      <c r="F1316">
        <f t="shared" ca="1" si="123"/>
        <v>-0.226985150107093</v>
      </c>
      <c r="G1316" s="3">
        <f t="shared" ca="1" si="126"/>
        <v>1.8424956739662224</v>
      </c>
      <c r="H1316">
        <f t="shared" ca="1" si="124"/>
        <v>-0.1231944005700033</v>
      </c>
      <c r="I1316">
        <f t="shared" ca="1" si="125"/>
        <v>2.9579760863313629</v>
      </c>
    </row>
    <row r="1317" spans="1:9" x14ac:dyDescent="0.3">
      <c r="A1317" s="1">
        <v>42089</v>
      </c>
      <c r="B1317" t="s">
        <v>0</v>
      </c>
      <c r="C1317">
        <v>553.65246909999996</v>
      </c>
      <c r="D1317" s="2">
        <f t="shared" si="121"/>
        <v>-6.4693945415762949E-3</v>
      </c>
      <c r="E1317" s="2">
        <f t="shared" ca="1" si="122"/>
        <v>2.3770273506265833</v>
      </c>
      <c r="F1317">
        <f t="shared" ca="1" si="123"/>
        <v>2.370310216457856</v>
      </c>
      <c r="G1317" s="3">
        <f t="shared" ca="1" si="126"/>
        <v>1.8356561990193083</v>
      </c>
      <c r="H1317">
        <f t="shared" ca="1" si="124"/>
        <v>1.2912604319502663</v>
      </c>
      <c r="I1317">
        <f t="shared" ca="1" si="125"/>
        <v>-1.7260491285275752</v>
      </c>
    </row>
    <row r="1318" spans="1:9" x14ac:dyDescent="0.3">
      <c r="A1318" s="1">
        <v>42090</v>
      </c>
      <c r="B1318" t="s">
        <v>0</v>
      </c>
      <c r="C1318">
        <v>546.84115959999997</v>
      </c>
      <c r="D1318" s="2">
        <f t="shared" si="121"/>
        <v>-1.2302499998008216E-2</v>
      </c>
      <c r="E1318" s="2">
        <f t="shared" ca="1" si="122"/>
        <v>1.0665243109074465</v>
      </c>
      <c r="F1318">
        <f t="shared" ca="1" si="123"/>
        <v>1.0809085118007673</v>
      </c>
      <c r="G1318" s="3">
        <f t="shared" ca="1" si="126"/>
        <v>1.8397214972587437</v>
      </c>
      <c r="H1318">
        <f t="shared" ca="1" si="124"/>
        <v>0.58753920819611172</v>
      </c>
      <c r="I1318">
        <f t="shared" ca="1" si="125"/>
        <v>-0.15573334577320708</v>
      </c>
    </row>
    <row r="1319" spans="1:9" x14ac:dyDescent="0.3">
      <c r="A1319" s="1">
        <v>42093</v>
      </c>
      <c r="B1319" t="s">
        <v>0</v>
      </c>
      <c r="C1319">
        <v>550.52104650000001</v>
      </c>
      <c r="D1319" s="2">
        <f t="shared" si="121"/>
        <v>6.729352455275648E-3</v>
      </c>
      <c r="E1319" s="2">
        <f t="shared" ca="1" si="122"/>
        <v>-3.3336376957742817</v>
      </c>
      <c r="F1319">
        <f t="shared" ca="1" si="123"/>
        <v>-3.3259410448251585</v>
      </c>
      <c r="G1319" s="3">
        <f t="shared" ca="1" si="126"/>
        <v>1.8350769958319899</v>
      </c>
      <c r="H1319">
        <f t="shared" ca="1" si="124"/>
        <v>-1.8124258831533324</v>
      </c>
      <c r="I1319">
        <f t="shared" ca="1" si="125"/>
        <v>-2.4035094038435703</v>
      </c>
    </row>
    <row r="1320" spans="1:9" x14ac:dyDescent="0.3">
      <c r="A1320" s="1">
        <v>42094</v>
      </c>
      <c r="B1320" t="s">
        <v>0</v>
      </c>
      <c r="C1320">
        <v>546.50204659999997</v>
      </c>
      <c r="D1320" s="2">
        <f t="shared" si="121"/>
        <v>-7.3003564996311906E-3</v>
      </c>
      <c r="E1320" s="2">
        <f t="shared" ca="1" si="122"/>
        <v>-0.25974467119716471</v>
      </c>
      <c r="F1320">
        <f t="shared" ca="1" si="123"/>
        <v>-0.25409040541431044</v>
      </c>
      <c r="G1320" s="3">
        <f t="shared" ca="1" si="126"/>
        <v>1.8496925259459116</v>
      </c>
      <c r="H1320">
        <f t="shared" ca="1" si="124"/>
        <v>-0.1373689961170014</v>
      </c>
      <c r="I1320">
        <f t="shared" ca="1" si="125"/>
        <v>2.7393048073274411</v>
      </c>
    </row>
    <row r="1321" spans="1:9" x14ac:dyDescent="0.3">
      <c r="A1321" s="1">
        <v>42095</v>
      </c>
      <c r="B1321" t="s">
        <v>0</v>
      </c>
      <c r="C1321">
        <v>541.0769123</v>
      </c>
      <c r="D1321" s="2">
        <f t="shared" si="121"/>
        <v>-9.9270155230924036E-3</v>
      </c>
      <c r="E1321" s="2">
        <f t="shared" ca="1" si="122"/>
        <v>-1.7143985270898867</v>
      </c>
      <c r="F1321">
        <f t="shared" ca="1" si="123"/>
        <v>-1.7164121586295735</v>
      </c>
      <c r="G1321" s="3">
        <f t="shared" ca="1" si="126"/>
        <v>1.8427936337012478</v>
      </c>
      <c r="H1321">
        <f t="shared" ca="1" si="124"/>
        <v>-0.93141854152283055</v>
      </c>
      <c r="I1321">
        <f t="shared" ca="1" si="125"/>
        <v>-1.0805057656695909</v>
      </c>
    </row>
    <row r="1322" spans="1:9" x14ac:dyDescent="0.3">
      <c r="A1322" s="1">
        <v>42096</v>
      </c>
      <c r="B1322" t="s">
        <v>0</v>
      </c>
      <c r="C1322">
        <v>534.0661384</v>
      </c>
      <c r="D1322" s="2">
        <f t="shared" si="121"/>
        <v>-1.2957074568564998E-2</v>
      </c>
      <c r="E1322" s="2">
        <f t="shared" ca="1" si="122"/>
        <v>-3.8044434083301142</v>
      </c>
      <c r="F1322">
        <f t="shared" ca="1" si="123"/>
        <v>-3.7969376074887911</v>
      </c>
      <c r="G1322" s="3">
        <f t="shared" ca="1" si="126"/>
        <v>1.8415220130195378</v>
      </c>
      <c r="H1322">
        <f t="shared" ca="1" si="124"/>
        <v>-2.0618475264723903</v>
      </c>
      <c r="I1322">
        <f t="shared" ca="1" si="125"/>
        <v>-2.6684013433213289</v>
      </c>
    </row>
    <row r="1323" spans="1:9" x14ac:dyDescent="0.3">
      <c r="A1323" s="1">
        <v>42100</v>
      </c>
      <c r="B1323" t="s">
        <v>0</v>
      </c>
      <c r="C1323">
        <v>535.29777200000001</v>
      </c>
      <c r="D1323" s="2">
        <f t="shared" si="121"/>
        <v>2.306144335774292E-3</v>
      </c>
      <c r="E1323" s="2">
        <f t="shared" ca="1" si="122"/>
        <v>2.6649942226674765</v>
      </c>
      <c r="F1323">
        <f t="shared" ca="1" si="123"/>
        <v>2.6750390942989384</v>
      </c>
      <c r="G1323" s="3">
        <f t="shared" ca="1" si="126"/>
        <v>1.8622362012892948</v>
      </c>
      <c r="H1323">
        <f t="shared" ca="1" si="124"/>
        <v>1.4364660575532311</v>
      </c>
      <c r="I1323">
        <f t="shared" ca="1" si="125"/>
        <v>-1.9679287330767199</v>
      </c>
    </row>
    <row r="1324" spans="1:9" x14ac:dyDescent="0.3">
      <c r="A1324" s="1">
        <v>42101</v>
      </c>
      <c r="B1324" t="s">
        <v>0</v>
      </c>
      <c r="C1324">
        <v>535.55204590000005</v>
      </c>
      <c r="D1324" s="2">
        <f t="shared" si="121"/>
        <v>4.7501393299287598E-4</v>
      </c>
      <c r="E1324" s="2">
        <f t="shared" ca="1" si="122"/>
        <v>-2.8444188047374266</v>
      </c>
      <c r="F1324">
        <f t="shared" ca="1" si="123"/>
        <v>-2.8370380897334435</v>
      </c>
      <c r="G1324" s="3">
        <f t="shared" ca="1" si="126"/>
        <v>1.8683905486373591</v>
      </c>
      <c r="H1324">
        <f t="shared" ca="1" si="124"/>
        <v>-1.5184395424192931</v>
      </c>
      <c r="I1324">
        <f t="shared" ca="1" si="125"/>
        <v>-2.0855211916278593</v>
      </c>
    </row>
    <row r="1325" spans="1:9" x14ac:dyDescent="0.3">
      <c r="A1325" s="1">
        <v>42102</v>
      </c>
      <c r="B1325" t="s">
        <v>0</v>
      </c>
      <c r="C1325">
        <v>540.12952040000005</v>
      </c>
      <c r="D1325" s="2">
        <f t="shared" si="121"/>
        <v>8.5472075684213042E-3</v>
      </c>
      <c r="E1325" s="2">
        <f t="shared" ca="1" si="122"/>
        <v>-1.3959279386736474</v>
      </c>
      <c r="F1325">
        <f t="shared" ca="1" si="123"/>
        <v>-1.3975055998745838</v>
      </c>
      <c r="G1325" s="3">
        <f t="shared" ca="1" si="126"/>
        <v>1.8759835260892135</v>
      </c>
      <c r="H1325">
        <f t="shared" ca="1" si="124"/>
        <v>-0.74494556078960183</v>
      </c>
      <c r="I1325">
        <f t="shared" ca="1" si="125"/>
        <v>-0.66941527222018327</v>
      </c>
    </row>
    <row r="1326" spans="1:9" x14ac:dyDescent="0.3">
      <c r="A1326" s="1">
        <v>42103</v>
      </c>
      <c r="B1326" t="s">
        <v>0</v>
      </c>
      <c r="C1326">
        <v>539.30181889999994</v>
      </c>
      <c r="D1326" s="2">
        <f t="shared" si="121"/>
        <v>-1.532413002324216E-3</v>
      </c>
      <c r="E1326" s="2">
        <f t="shared" ca="1" si="122"/>
        <v>-3.8643738536086727</v>
      </c>
      <c r="F1326">
        <f t="shared" ca="1" si="123"/>
        <v>-3.8672181251263056</v>
      </c>
      <c r="G1326" s="3">
        <f t="shared" ca="1" si="126"/>
        <v>1.8722255144112374</v>
      </c>
      <c r="H1326">
        <f t="shared" ca="1" si="124"/>
        <v>-2.0655728144707171</v>
      </c>
      <c r="I1326">
        <f t="shared" ca="1" si="125"/>
        <v>-2.7050709927043566</v>
      </c>
    </row>
    <row r="1327" spans="1:9" x14ac:dyDescent="0.3">
      <c r="A1327" s="1">
        <v>42104</v>
      </c>
      <c r="B1327" t="s">
        <v>0</v>
      </c>
      <c r="C1327">
        <v>538.53387129999999</v>
      </c>
      <c r="D1327" s="2">
        <f t="shared" si="121"/>
        <v>-1.4239662709951909E-3</v>
      </c>
      <c r="E1327" s="2">
        <f t="shared" ca="1" si="122"/>
        <v>2.1149612966046565</v>
      </c>
      <c r="F1327">
        <f t="shared" ca="1" si="123"/>
        <v>2.1100958912750989</v>
      </c>
      <c r="G1327" s="3">
        <f t="shared" ca="1" si="126"/>
        <v>1.892240783604161</v>
      </c>
      <c r="H1327">
        <f t="shared" ca="1" si="124"/>
        <v>1.1151307537384265</v>
      </c>
      <c r="I1327">
        <f t="shared" ca="1" si="125"/>
        <v>-1.4934672405166416</v>
      </c>
    </row>
    <row r="1328" spans="1:9" x14ac:dyDescent="0.3">
      <c r="A1328" s="1">
        <v>42107</v>
      </c>
      <c r="B1328" t="s">
        <v>0</v>
      </c>
      <c r="C1328">
        <v>537.69622100000004</v>
      </c>
      <c r="D1328" s="2">
        <f t="shared" si="121"/>
        <v>-1.555427327120381E-3</v>
      </c>
      <c r="E1328" s="2">
        <f t="shared" ca="1" si="122"/>
        <v>-0.16137747054681834</v>
      </c>
      <c r="F1328">
        <f t="shared" ca="1" si="123"/>
        <v>-0.15999866450020722</v>
      </c>
      <c r="G1328" s="3">
        <f t="shared" ca="1" si="126"/>
        <v>1.8926447523517771</v>
      </c>
      <c r="H1328">
        <f t="shared" ca="1" si="124"/>
        <v>-8.4537081933307792E-2</v>
      </c>
      <c r="I1328">
        <f t="shared" ca="1" si="125"/>
        <v>3.6650851137137574</v>
      </c>
    </row>
    <row r="1329" spans="1:9" x14ac:dyDescent="0.3">
      <c r="A1329" s="1">
        <v>42108</v>
      </c>
      <c r="B1329" t="s">
        <v>0</v>
      </c>
      <c r="C1329">
        <v>528.94019969999999</v>
      </c>
      <c r="D1329" s="2">
        <f t="shared" si="121"/>
        <v>-1.6284327391618478E-2</v>
      </c>
      <c r="E1329" s="2">
        <f t="shared" ca="1" si="122"/>
        <v>-1.9009992048699036</v>
      </c>
      <c r="F1329">
        <f t="shared" ca="1" si="123"/>
        <v>-1.8996487311010528</v>
      </c>
      <c r="G1329" s="3">
        <f t="shared" ca="1" si="126"/>
        <v>1.8851766473134581</v>
      </c>
      <c r="H1329">
        <f t="shared" ca="1" si="124"/>
        <v>-1.0076767786234879</v>
      </c>
      <c r="I1329">
        <f t="shared" ca="1" si="125"/>
        <v>-1.2834114654684976</v>
      </c>
    </row>
    <row r="1330" spans="1:9" x14ac:dyDescent="0.3">
      <c r="A1330" s="1">
        <v>42109</v>
      </c>
      <c r="B1330" t="s">
        <v>0</v>
      </c>
      <c r="C1330">
        <v>531.07436429999996</v>
      </c>
      <c r="D1330" s="2">
        <f t="shared" si="121"/>
        <v>4.0347937275525686E-3</v>
      </c>
      <c r="E1330" s="2">
        <f t="shared" ca="1" si="122"/>
        <v>0.71660479133767607</v>
      </c>
      <c r="F1330">
        <f t="shared" ca="1" si="123"/>
        <v>0.7224287744487401</v>
      </c>
      <c r="G1330" s="3">
        <f t="shared" ca="1" si="126"/>
        <v>1.8842359009485765</v>
      </c>
      <c r="H1330">
        <f t="shared" ca="1" si="124"/>
        <v>0.38340675606756536</v>
      </c>
      <c r="I1330">
        <f t="shared" ca="1" si="125"/>
        <v>0.65024169919216535</v>
      </c>
    </row>
    <row r="1331" spans="1:9" x14ac:dyDescent="0.3">
      <c r="A1331" s="1">
        <v>42110</v>
      </c>
      <c r="B1331" t="s">
        <v>0</v>
      </c>
      <c r="C1331">
        <v>532.34084919999998</v>
      </c>
      <c r="D1331" s="2">
        <f t="shared" si="121"/>
        <v>2.3847599981018765E-3</v>
      </c>
      <c r="E1331" s="2">
        <f t="shared" ca="1" si="122"/>
        <v>-1.6200362167606606</v>
      </c>
      <c r="F1331">
        <f t="shared" ca="1" si="123"/>
        <v>-1.6110990559187814</v>
      </c>
      <c r="G1331" s="3">
        <f t="shared" ca="1" si="126"/>
        <v>1.8777590277982612</v>
      </c>
      <c r="H1331">
        <f t="shared" ca="1" si="124"/>
        <v>-0.85799031295716999</v>
      </c>
      <c r="I1331">
        <f t="shared" ca="1" si="125"/>
        <v>-0.95383537007086494</v>
      </c>
    </row>
    <row r="1332" spans="1:9" x14ac:dyDescent="0.3">
      <c r="A1332" s="1">
        <v>42111</v>
      </c>
      <c r="B1332" t="s">
        <v>0</v>
      </c>
      <c r="C1332">
        <v>522.61753950000002</v>
      </c>
      <c r="D1332" s="2">
        <f t="shared" si="121"/>
        <v>-1.8265195531419608E-2</v>
      </c>
      <c r="E1332" s="2">
        <f t="shared" ca="1" si="122"/>
        <v>0.2199336921633829</v>
      </c>
      <c r="F1332">
        <f t="shared" ca="1" si="123"/>
        <v>0.21671018641782461</v>
      </c>
      <c r="G1332" s="3">
        <f t="shared" ca="1" si="126"/>
        <v>1.8751391617628628</v>
      </c>
      <c r="H1332">
        <f t="shared" ca="1" si="124"/>
        <v>0.11557018851555008</v>
      </c>
      <c r="I1332">
        <f t="shared" ca="1" si="125"/>
        <v>3.0512849409522715</v>
      </c>
    </row>
    <row r="1333" spans="1:9" x14ac:dyDescent="0.3">
      <c r="A1333" s="1">
        <v>42114</v>
      </c>
      <c r="B1333" t="s">
        <v>0</v>
      </c>
      <c r="C1333">
        <v>533.91654010000002</v>
      </c>
      <c r="D1333" s="2">
        <f t="shared" si="121"/>
        <v>2.162001797874983E-2</v>
      </c>
      <c r="E1333" s="2">
        <f t="shared" ca="1" si="122"/>
        <v>-0.58237861471594288</v>
      </c>
      <c r="F1333">
        <f t="shared" ca="1" si="123"/>
        <v>-0.57841754681906743</v>
      </c>
      <c r="G1333" s="3">
        <f t="shared" ca="1" si="126"/>
        <v>1.8679109410079922</v>
      </c>
      <c r="H1333">
        <f t="shared" ca="1" si="124"/>
        <v>-0.30966013106970314</v>
      </c>
      <c r="I1333">
        <f t="shared" ca="1" si="125"/>
        <v>1.0935214381090586</v>
      </c>
    </row>
    <row r="1334" spans="1:9" x14ac:dyDescent="0.3">
      <c r="A1334" s="1">
        <v>42115</v>
      </c>
      <c r="B1334" t="s">
        <v>0</v>
      </c>
      <c r="C1334">
        <v>532.51040569999998</v>
      </c>
      <c r="D1334" s="2">
        <f t="shared" si="121"/>
        <v>-2.6336221008187526E-3</v>
      </c>
      <c r="E1334" s="2">
        <f t="shared" ca="1" si="122"/>
        <v>2.8050607049827003</v>
      </c>
      <c r="F1334">
        <f t="shared" ca="1" si="123"/>
        <v>2.8099880397376427</v>
      </c>
      <c r="G1334" s="3">
        <f t="shared" ca="1" si="126"/>
        <v>1.8612987804356591</v>
      </c>
      <c r="H1334">
        <f t="shared" ca="1" si="124"/>
        <v>1.5096920866621595</v>
      </c>
      <c r="I1334">
        <f t="shared" ca="1" si="125"/>
        <v>-2.0663613324423653</v>
      </c>
    </row>
    <row r="1335" spans="1:9" x14ac:dyDescent="0.3">
      <c r="A1335" s="1">
        <v>42116</v>
      </c>
      <c r="B1335" t="s">
        <v>0</v>
      </c>
      <c r="C1335">
        <v>537.89067910000006</v>
      </c>
      <c r="D1335" s="2">
        <f t="shared" si="121"/>
        <v>1.0103602375483267E-2</v>
      </c>
      <c r="E1335" s="2">
        <f t="shared" ca="1" si="122"/>
        <v>2.6440493019677156</v>
      </c>
      <c r="F1335">
        <f t="shared" ca="1" si="123"/>
        <v>2.6313718432618329</v>
      </c>
      <c r="G1335" s="3">
        <f t="shared" ca="1" si="126"/>
        <v>1.8688584058844662</v>
      </c>
      <c r="H1335">
        <f t="shared" ca="1" si="124"/>
        <v>1.4080102778126176</v>
      </c>
      <c r="I1335">
        <f t="shared" ca="1" si="125"/>
        <v>-1.935025390282485</v>
      </c>
    </row>
    <row r="1336" spans="1:9" x14ac:dyDescent="0.3">
      <c r="A1336" s="1">
        <v>42117</v>
      </c>
      <c r="B1336" t="s">
        <v>0</v>
      </c>
      <c r="C1336">
        <v>545.50478859999998</v>
      </c>
      <c r="D1336" s="2">
        <f t="shared" si="121"/>
        <v>1.4155496266899201E-2</v>
      </c>
      <c r="E1336" s="2">
        <f t="shared" ca="1" si="122"/>
        <v>-1.4594278622857142</v>
      </c>
      <c r="F1336">
        <f t="shared" ca="1" si="123"/>
        <v>-1.460800459554036</v>
      </c>
      <c r="G1336" s="3">
        <f t="shared" ca="1" si="126"/>
        <v>1.8743713582393577</v>
      </c>
      <c r="H1336">
        <f t="shared" ca="1" si="124"/>
        <v>-0.7793548771072778</v>
      </c>
      <c r="I1336">
        <f t="shared" ca="1" si="125"/>
        <v>-0.75806299150661649</v>
      </c>
    </row>
    <row r="1337" spans="1:9" x14ac:dyDescent="0.3">
      <c r="A1337" s="1">
        <v>42118</v>
      </c>
      <c r="B1337" t="s">
        <v>0</v>
      </c>
      <c r="C1337">
        <v>563.51542940000002</v>
      </c>
      <c r="D1337" s="2">
        <f t="shared" si="121"/>
        <v>3.3016466906226595E-2</v>
      </c>
      <c r="E1337" s="2">
        <f t="shared" ca="1" si="122"/>
        <v>4.0247047135236667</v>
      </c>
      <c r="F1337">
        <f t="shared" ca="1" si="123"/>
        <v>4.0141925539087016</v>
      </c>
      <c r="G1337" s="3">
        <f t="shared" ca="1" si="126"/>
        <v>1.8709717675379831</v>
      </c>
      <c r="H1337">
        <f t="shared" ca="1" si="124"/>
        <v>2.1455120935314747</v>
      </c>
      <c r="I1337">
        <f t="shared" ca="1" si="125"/>
        <v>-2.7797400891389445</v>
      </c>
    </row>
    <row r="1338" spans="1:9" x14ac:dyDescent="0.3">
      <c r="A1338" s="1">
        <v>42121</v>
      </c>
      <c r="B1338" t="s">
        <v>0</v>
      </c>
      <c r="C1338">
        <v>555.36999500000002</v>
      </c>
      <c r="D1338" s="2">
        <f t="shared" si="121"/>
        <v>-1.4454678567848277E-2</v>
      </c>
      <c r="E1338" s="2">
        <f t="shared" ca="1" si="122"/>
        <v>-0.79651888424685025</v>
      </c>
      <c r="F1338">
        <f t="shared" ca="1" si="123"/>
        <v>-0.81517783442753167</v>
      </c>
      <c r="G1338" s="3">
        <f t="shared" ca="1" si="126"/>
        <v>1.8931575593678343</v>
      </c>
      <c r="H1338">
        <f t="shared" ca="1" si="124"/>
        <v>-0.4305916485364995</v>
      </c>
      <c r="I1338">
        <f t="shared" ca="1" si="125"/>
        <v>0.40838355414419303</v>
      </c>
    </row>
    <row r="1339" spans="1:9" x14ac:dyDescent="0.3">
      <c r="A1339" s="1">
        <v>42122</v>
      </c>
      <c r="B1339" t="s">
        <v>0</v>
      </c>
      <c r="C1339">
        <v>553.67999299999997</v>
      </c>
      <c r="D1339" s="2">
        <f t="shared" si="121"/>
        <v>-3.0430199960659551E-3</v>
      </c>
      <c r="E1339" s="2">
        <f t="shared" ca="1" si="122"/>
        <v>0.77809322170667972</v>
      </c>
      <c r="F1339">
        <f t="shared" ca="1" si="123"/>
        <v>0.76184386239738355</v>
      </c>
      <c r="G1339" s="3">
        <f t="shared" ca="1" si="126"/>
        <v>1.88681944519384</v>
      </c>
      <c r="H1339">
        <f t="shared" ca="1" si="124"/>
        <v>0.40377147073503711</v>
      </c>
      <c r="I1339">
        <f t="shared" ca="1" si="125"/>
        <v>0.54401134426662734</v>
      </c>
    </row>
    <row r="1340" spans="1:9" x14ac:dyDescent="0.3">
      <c r="A1340" s="1">
        <v>42123</v>
      </c>
      <c r="B1340" t="s">
        <v>0</v>
      </c>
      <c r="C1340">
        <v>549.080017</v>
      </c>
      <c r="D1340" s="2">
        <f t="shared" si="121"/>
        <v>-8.3080047286447096E-3</v>
      </c>
      <c r="E1340" s="2">
        <f t="shared" ca="1" si="122"/>
        <v>-0.86984554012035487</v>
      </c>
      <c r="F1340">
        <f t="shared" ca="1" si="123"/>
        <v>-0.85993733611191014</v>
      </c>
      <c r="G1340" s="3">
        <f t="shared" ca="1" si="126"/>
        <v>1.8804143284740884</v>
      </c>
      <c r="H1340">
        <f t="shared" ca="1" si="124"/>
        <v>-0.45731269066096136</v>
      </c>
      <c r="I1340">
        <f t="shared" ca="1" si="125"/>
        <v>0.30169817645684432</v>
      </c>
    </row>
    <row r="1341" spans="1:9" x14ac:dyDescent="0.3">
      <c r="A1341" s="1">
        <v>42124</v>
      </c>
      <c r="B1341" t="s">
        <v>0</v>
      </c>
      <c r="C1341">
        <v>537.34002699999996</v>
      </c>
      <c r="D1341" s="2">
        <f t="shared" si="121"/>
        <v>-2.1381200620163954E-2</v>
      </c>
      <c r="E1341" s="2">
        <f t="shared" ca="1" si="122"/>
        <v>-0.16208841896087986</v>
      </c>
      <c r="F1341">
        <f t="shared" ca="1" si="123"/>
        <v>-0.15771638056817236</v>
      </c>
      <c r="G1341" s="3">
        <f t="shared" ca="1" si="126"/>
        <v>1.8743813764666661</v>
      </c>
      <c r="H1341">
        <f t="shared" ca="1" si="124"/>
        <v>-8.4143164538626733E-2</v>
      </c>
      <c r="I1341">
        <f t="shared" ca="1" si="125"/>
        <v>3.6755353157923332</v>
      </c>
    </row>
    <row r="1342" spans="1:9" x14ac:dyDescent="0.3">
      <c r="A1342" s="1">
        <v>42125</v>
      </c>
      <c r="B1342" t="s">
        <v>0</v>
      </c>
      <c r="C1342">
        <v>537.90002400000003</v>
      </c>
      <c r="D1342" s="2">
        <f t="shared" si="121"/>
        <v>1.0421650572479439E-3</v>
      </c>
      <c r="E1342" s="2">
        <f t="shared" ca="1" si="122"/>
        <v>1.5734577875780311</v>
      </c>
      <c r="F1342">
        <f t="shared" ca="1" si="123"/>
        <v>1.5850062897897332</v>
      </c>
      <c r="G1342" s="3">
        <f t="shared" ca="1" si="126"/>
        <v>1.8671214533846887</v>
      </c>
      <c r="H1342">
        <f t="shared" ca="1" si="124"/>
        <v>0.84890368910734681</v>
      </c>
      <c r="I1342">
        <f t="shared" ca="1" si="125"/>
        <v>-0.92117718361161882</v>
      </c>
    </row>
    <row r="1343" spans="1:9" x14ac:dyDescent="0.3">
      <c r="A1343" s="1">
        <v>42128</v>
      </c>
      <c r="B1343" t="s">
        <v>0</v>
      </c>
      <c r="C1343">
        <v>540.78002900000001</v>
      </c>
      <c r="D1343" s="2">
        <f t="shared" si="121"/>
        <v>5.3541641039227443E-3</v>
      </c>
      <c r="E1343" s="2">
        <f t="shared" ca="1" si="122"/>
        <v>0.53273720227167976</v>
      </c>
      <c r="F1343">
        <f t="shared" ca="1" si="123"/>
        <v>0.54574046768754247</v>
      </c>
      <c r="G1343" s="3">
        <f t="shared" ca="1" si="126"/>
        <v>1.8645499745125582</v>
      </c>
      <c r="H1343">
        <f t="shared" ca="1" si="124"/>
        <v>0.29269286162748909</v>
      </c>
      <c r="I1343">
        <f t="shared" ca="1" si="125"/>
        <v>1.211127248016743</v>
      </c>
    </row>
    <row r="1344" spans="1:9" x14ac:dyDescent="0.3">
      <c r="A1344" s="1">
        <v>42129</v>
      </c>
      <c r="B1344" t="s">
        <v>0</v>
      </c>
      <c r="C1344">
        <v>530.79998799999998</v>
      </c>
      <c r="D1344" s="2">
        <f t="shared" si="121"/>
        <v>-1.845489933948731E-2</v>
      </c>
      <c r="E1344" s="2">
        <f t="shared" ca="1" si="122"/>
        <v>0.1747326815959416</v>
      </c>
      <c r="F1344">
        <f t="shared" ca="1" si="123"/>
        <v>0.17248730215744915</v>
      </c>
      <c r="G1344" s="3">
        <f t="shared" ca="1" si="126"/>
        <v>1.8579113491681924</v>
      </c>
      <c r="H1344">
        <f t="shared" ca="1" si="124"/>
        <v>9.2839360841771926E-2</v>
      </c>
      <c r="I1344">
        <f t="shared" ca="1" si="125"/>
        <v>3.5034158526540131</v>
      </c>
    </row>
    <row r="1345" spans="1:9" x14ac:dyDescent="0.3">
      <c r="A1345" s="1">
        <v>42130</v>
      </c>
      <c r="B1345" t="s">
        <v>0</v>
      </c>
      <c r="C1345">
        <v>524.21997099999999</v>
      </c>
      <c r="D1345" s="2">
        <f t="shared" si="121"/>
        <v>-1.239641512576673E-2</v>
      </c>
      <c r="E1345" s="2">
        <f t="shared" ca="1" si="122"/>
        <v>0.22444711422284627</v>
      </c>
      <c r="F1345">
        <f t="shared" ca="1" si="123"/>
        <v>0.22661570710836312</v>
      </c>
      <c r="G1345" s="3">
        <f t="shared" ca="1" si="126"/>
        <v>1.8508506896444936</v>
      </c>
      <c r="H1345">
        <f t="shared" ca="1" si="124"/>
        <v>0.12243867556485113</v>
      </c>
      <c r="I1345">
        <f t="shared" ca="1" si="125"/>
        <v>2.9660068839370353</v>
      </c>
    </row>
    <row r="1346" spans="1:9" x14ac:dyDescent="0.3">
      <c r="A1346" s="1">
        <v>42131</v>
      </c>
      <c r="B1346" t="s">
        <v>0</v>
      </c>
      <c r="C1346">
        <v>530.70001200000002</v>
      </c>
      <c r="D1346" s="2">
        <f t="shared" si="121"/>
        <v>1.2361301282815929E-2</v>
      </c>
      <c r="E1346" s="2">
        <f t="shared" ca="1" si="122"/>
        <v>0.80315106365344568</v>
      </c>
      <c r="F1346">
        <f t="shared" ca="1" si="123"/>
        <v>0.81833905110608207</v>
      </c>
      <c r="G1346" s="3">
        <f t="shared" ca="1" si="126"/>
        <v>1.8439130815631488</v>
      </c>
      <c r="H1346">
        <f t="shared" ca="1" si="124"/>
        <v>0.44380565401290378</v>
      </c>
      <c r="I1346">
        <f t="shared" ca="1" si="125"/>
        <v>0.40072890897432484</v>
      </c>
    </row>
    <row r="1347" spans="1:9" x14ac:dyDescent="0.3">
      <c r="A1347" s="1">
        <v>42132</v>
      </c>
      <c r="B1347" t="s">
        <v>0</v>
      </c>
      <c r="C1347">
        <v>538.21997099999999</v>
      </c>
      <c r="D1347" s="2">
        <f t="shared" si="121"/>
        <v>1.4169886621370514E-2</v>
      </c>
      <c r="E1347" s="2">
        <f t="shared" ca="1" si="122"/>
        <v>-1.0660042873879239</v>
      </c>
      <c r="F1347">
        <f t="shared" ca="1" si="123"/>
        <v>-1.0619707934685207</v>
      </c>
      <c r="G1347" s="3">
        <f t="shared" ca="1" si="126"/>
        <v>1.8382460585866691</v>
      </c>
      <c r="H1347">
        <f t="shared" ca="1" si="124"/>
        <v>-0.57770872865899914</v>
      </c>
      <c r="I1347">
        <f t="shared" ca="1" si="125"/>
        <v>-0.12043087790744164</v>
      </c>
    </row>
    <row r="1348" spans="1:9" x14ac:dyDescent="0.3">
      <c r="A1348" s="1">
        <v>42135</v>
      </c>
      <c r="B1348" t="s">
        <v>0</v>
      </c>
      <c r="C1348">
        <v>535.70001200000002</v>
      </c>
      <c r="D1348" s="2">
        <f t="shared" ref="D1348:D1411" si="127">(C1348-C1347)/C1347</f>
        <v>-4.682024331646311E-3</v>
      </c>
      <c r="E1348" s="2">
        <f t="shared" ca="1" si="122"/>
        <v>-0.56276605333939655</v>
      </c>
      <c r="F1348">
        <f t="shared" ca="1" si="123"/>
        <v>-0.57468836531476597</v>
      </c>
      <c r="G1348" s="3">
        <f t="shared" ca="1" si="126"/>
        <v>1.8335453578345837</v>
      </c>
      <c r="H1348">
        <f t="shared" ca="1" si="124"/>
        <v>-0.31343013297117051</v>
      </c>
      <c r="I1348">
        <f t="shared" ca="1" si="125"/>
        <v>1.1077883422494947</v>
      </c>
    </row>
    <row r="1349" spans="1:9" x14ac:dyDescent="0.3">
      <c r="A1349" s="1">
        <v>42136</v>
      </c>
      <c r="B1349" t="s">
        <v>0</v>
      </c>
      <c r="C1349">
        <v>529.03997800000002</v>
      </c>
      <c r="D1349" s="2">
        <f t="shared" si="127"/>
        <v>-1.2432394718706849E-2</v>
      </c>
      <c r="E1349" s="2">
        <f t="shared" ca="1" si="122"/>
        <v>-1.4755606249988333</v>
      </c>
      <c r="F1349">
        <f t="shared" ca="1" si="123"/>
        <v>-1.4829881487573584</v>
      </c>
      <c r="G1349" s="3">
        <f t="shared" ca="1" si="126"/>
        <v>1.8273564210075488</v>
      </c>
      <c r="H1349">
        <f t="shared" ca="1" si="124"/>
        <v>-0.81154838306786581</v>
      </c>
      <c r="I1349">
        <f t="shared" ca="1" si="125"/>
        <v>-0.78818842385171117</v>
      </c>
    </row>
    <row r="1350" spans="1:9" x14ac:dyDescent="0.3">
      <c r="A1350" s="1">
        <v>42137</v>
      </c>
      <c r="B1350" t="s">
        <v>0</v>
      </c>
      <c r="C1350">
        <v>529.61999500000002</v>
      </c>
      <c r="D1350" s="2">
        <f t="shared" si="127"/>
        <v>1.0963575988958587E-3</v>
      </c>
      <c r="E1350" s="2">
        <f t="shared" ref="E1350:E1413" ca="1" si="128">$N$9*D1349+$N$10*D1348+F1350</f>
        <v>0.33838336919059592</v>
      </c>
      <c r="F1350">
        <f t="shared" ref="F1350:F1413" ca="1" si="129">G1350*H1350</f>
        <v>0.3450057607290305</v>
      </c>
      <c r="G1350" s="3">
        <f t="shared" ca="1" si="126"/>
        <v>1.8249357516711362</v>
      </c>
      <c r="H1350">
        <f t="shared" ref="H1350:H1413" ca="1" si="130">_xlfn.NORM.S.INV(RAND())</f>
        <v>0.18905090790900483</v>
      </c>
      <c r="I1350">
        <f t="shared" ref="I1350:I1413" ca="1" si="131">-LN(F1350^2)-(D1350^2)/(F1350^2)</f>
        <v>2.1283782302683711</v>
      </c>
    </row>
    <row r="1351" spans="1:9" x14ac:dyDescent="0.3">
      <c r="A1351" s="1">
        <v>42138</v>
      </c>
      <c r="B1351" t="s">
        <v>0</v>
      </c>
      <c r="C1351">
        <v>538.40002400000003</v>
      </c>
      <c r="D1351" s="2">
        <f t="shared" si="127"/>
        <v>1.6577978707167228E-2</v>
      </c>
      <c r="E1351" s="2">
        <f t="shared" ca="1" si="128"/>
        <v>-0.93391948173137074</v>
      </c>
      <c r="F1351">
        <f t="shared" ca="1" si="129"/>
        <v>-0.92650476654186598</v>
      </c>
      <c r="G1351" s="3">
        <f t="shared" ref="G1351:G1414" ca="1" si="132">SQRT($N$6+$N$7*(H1350^2)+$N$8*(G1350^2))</f>
        <v>1.8184368700710045</v>
      </c>
      <c r="H1351">
        <f t="shared" ca="1" si="130"/>
        <v>-0.50950614881983158</v>
      </c>
      <c r="I1351">
        <f t="shared" ca="1" si="131"/>
        <v>0.15235201662287348</v>
      </c>
    </row>
    <row r="1352" spans="1:9" x14ac:dyDescent="0.3">
      <c r="A1352" s="1">
        <v>42139</v>
      </c>
      <c r="B1352" t="s">
        <v>0</v>
      </c>
      <c r="C1352">
        <v>533.84997599999997</v>
      </c>
      <c r="D1352" s="2">
        <f t="shared" si="127"/>
        <v>-8.45105460099322E-3</v>
      </c>
      <c r="E1352" s="2">
        <f t="shared" ca="1" si="128"/>
        <v>1.5674651170025728</v>
      </c>
      <c r="F1352">
        <f t="shared" ca="1" si="129"/>
        <v>1.5618394384214223</v>
      </c>
      <c r="G1352" s="3">
        <f t="shared" ca="1" si="132"/>
        <v>1.8134987264824753</v>
      </c>
      <c r="H1352">
        <f t="shared" ca="1" si="130"/>
        <v>0.86122996151798792</v>
      </c>
      <c r="I1352">
        <f t="shared" ca="1" si="131"/>
        <v>-0.89175778617531187</v>
      </c>
    </row>
    <row r="1353" spans="1:9" x14ac:dyDescent="0.3">
      <c r="A1353" s="1">
        <v>42142</v>
      </c>
      <c r="B1353" t="s">
        <v>0</v>
      </c>
      <c r="C1353">
        <v>532.29998799999998</v>
      </c>
      <c r="D1353" s="2">
        <f t="shared" si="127"/>
        <v>-2.9034149474233282E-3</v>
      </c>
      <c r="E1353" s="2">
        <f t="shared" ca="1" si="128"/>
        <v>3.9620615022148002</v>
      </c>
      <c r="F1353">
        <f t="shared" ca="1" si="129"/>
        <v>3.9542582620374049</v>
      </c>
      <c r="G1353" s="3">
        <f t="shared" ca="1" si="132"/>
        <v>1.8118238255322665</v>
      </c>
      <c r="H1353">
        <f t="shared" ca="1" si="130"/>
        <v>2.1824739283775272</v>
      </c>
      <c r="I1353">
        <f t="shared" ca="1" si="131"/>
        <v>-2.7495866176558095</v>
      </c>
    </row>
    <row r="1354" spans="1:9" x14ac:dyDescent="0.3">
      <c r="A1354" s="1">
        <v>42143</v>
      </c>
      <c r="B1354" t="s">
        <v>0</v>
      </c>
      <c r="C1354">
        <v>537.35998500000005</v>
      </c>
      <c r="D1354" s="2">
        <f t="shared" si="127"/>
        <v>9.5059122939526852E-3</v>
      </c>
      <c r="E1354" s="2">
        <f t="shared" ca="1" si="128"/>
        <v>-0.84673508697608846</v>
      </c>
      <c r="F1354">
        <f t="shared" ca="1" si="129"/>
        <v>-0.84060694518694146</v>
      </c>
      <c r="G1354" s="3">
        <f t="shared" ca="1" si="132"/>
        <v>1.8366793423642005</v>
      </c>
      <c r="H1354">
        <f t="shared" ca="1" si="130"/>
        <v>-0.45767757375922785</v>
      </c>
      <c r="I1354">
        <f t="shared" ca="1" si="131"/>
        <v>0.34713430881967711</v>
      </c>
    </row>
    <row r="1355" spans="1:9" x14ac:dyDescent="0.3">
      <c r="A1355" s="1">
        <v>42144</v>
      </c>
      <c r="B1355" t="s">
        <v>0</v>
      </c>
      <c r="C1355">
        <v>539.27002000000005</v>
      </c>
      <c r="D1355" s="2">
        <f t="shared" si="127"/>
        <v>3.5544794054585089E-3</v>
      </c>
      <c r="E1355" s="2">
        <f t="shared" ca="1" si="128"/>
        <v>-0.1650403434761181</v>
      </c>
      <c r="F1355">
        <f t="shared" ca="1" si="129"/>
        <v>-0.16606673110331538</v>
      </c>
      <c r="G1355" s="3">
        <f t="shared" ca="1" si="132"/>
        <v>1.8311831508900933</v>
      </c>
      <c r="H1355">
        <f t="shared" ca="1" si="130"/>
        <v>-9.0688214896797417E-2</v>
      </c>
      <c r="I1355">
        <f t="shared" ca="1" si="131"/>
        <v>3.590273025722106</v>
      </c>
    </row>
    <row r="1356" spans="1:9" x14ac:dyDescent="0.3">
      <c r="A1356" s="1">
        <v>42145</v>
      </c>
      <c r="B1356" t="s">
        <v>0</v>
      </c>
      <c r="C1356">
        <v>542.51000999999997</v>
      </c>
      <c r="D1356" s="2">
        <f t="shared" si="127"/>
        <v>6.0081033245644186E-3</v>
      </c>
      <c r="E1356" s="2">
        <f t="shared" ca="1" si="128"/>
        <v>0.84915412207232643</v>
      </c>
      <c r="F1356">
        <f t="shared" ca="1" si="129"/>
        <v>0.84217499896025494</v>
      </c>
      <c r="G1356" s="3">
        <f t="shared" ca="1" si="132"/>
        <v>1.824429582783424</v>
      </c>
      <c r="H1356">
        <f t="shared" ca="1" si="130"/>
        <v>0.46161003247678023</v>
      </c>
      <c r="I1356">
        <f t="shared" ca="1" si="131"/>
        <v>0.34348400376860855</v>
      </c>
    </row>
    <row r="1357" spans="1:9" x14ac:dyDescent="0.3">
      <c r="A1357" s="1">
        <v>42146</v>
      </c>
      <c r="B1357" t="s">
        <v>0</v>
      </c>
      <c r="C1357">
        <v>540.10998500000005</v>
      </c>
      <c r="D1357" s="2">
        <f t="shared" si="127"/>
        <v>-4.4239275879903381E-3</v>
      </c>
      <c r="E1357" s="2">
        <f t="shared" ca="1" si="128"/>
        <v>-2.9421375208116629</v>
      </c>
      <c r="F1357">
        <f t="shared" ca="1" si="129"/>
        <v>-2.9461422921742222</v>
      </c>
      <c r="G1357" s="3">
        <f t="shared" ca="1" si="132"/>
        <v>1.8191087162535178</v>
      </c>
      <c r="H1357">
        <f t="shared" ca="1" si="130"/>
        <v>-1.6195526225842332</v>
      </c>
      <c r="I1357">
        <f t="shared" ca="1" si="131"/>
        <v>-2.1609954888049927</v>
      </c>
    </row>
    <row r="1358" spans="1:9" x14ac:dyDescent="0.3">
      <c r="A1358" s="1">
        <v>42150</v>
      </c>
      <c r="B1358" t="s">
        <v>0</v>
      </c>
      <c r="C1358">
        <v>532.32000700000003</v>
      </c>
      <c r="D1358" s="2">
        <f t="shared" si="127"/>
        <v>-1.4422947577982693E-2</v>
      </c>
      <c r="E1358" s="2">
        <f t="shared" ca="1" si="128"/>
        <v>0.87475352643773441</v>
      </c>
      <c r="F1358">
        <f t="shared" ca="1" si="129"/>
        <v>0.87233136265629196</v>
      </c>
      <c r="G1358" s="3">
        <f t="shared" ca="1" si="132"/>
        <v>1.8297519930641244</v>
      </c>
      <c r="H1358">
        <f t="shared" ca="1" si="130"/>
        <v>0.47674841506551691</v>
      </c>
      <c r="I1358">
        <f t="shared" ca="1" si="131"/>
        <v>0.27289848205559281</v>
      </c>
    </row>
    <row r="1359" spans="1:9" x14ac:dyDescent="0.3">
      <c r="A1359" s="1">
        <v>42151</v>
      </c>
      <c r="B1359" t="s">
        <v>0</v>
      </c>
      <c r="C1359">
        <v>539.78997800000002</v>
      </c>
      <c r="D1359" s="2">
        <f t="shared" si="127"/>
        <v>1.4032857870773184E-2</v>
      </c>
      <c r="E1359" s="2">
        <f t="shared" ca="1" si="128"/>
        <v>-3.0746969750995623</v>
      </c>
      <c r="F1359">
        <f t="shared" ca="1" si="129"/>
        <v>-3.0676417854808498</v>
      </c>
      <c r="G1359" s="3">
        <f t="shared" ca="1" si="132"/>
        <v>1.8244587431220338</v>
      </c>
      <c r="H1359">
        <f t="shared" ca="1" si="130"/>
        <v>-1.6813982760889772</v>
      </c>
      <c r="I1359">
        <f t="shared" ca="1" si="131"/>
        <v>-2.2418391625838034</v>
      </c>
    </row>
    <row r="1360" spans="1:9" x14ac:dyDescent="0.3">
      <c r="A1360" s="1">
        <v>42152</v>
      </c>
      <c r="B1360" t="s">
        <v>0</v>
      </c>
      <c r="C1360">
        <v>539.78002900000001</v>
      </c>
      <c r="D1360" s="2">
        <f t="shared" si="127"/>
        <v>-1.8431242530416117E-5</v>
      </c>
      <c r="E1360" s="2">
        <f t="shared" ca="1" si="128"/>
        <v>0.88718517176280243</v>
      </c>
      <c r="F1360">
        <f t="shared" ca="1" si="129"/>
        <v>0.89198218034153842</v>
      </c>
      <c r="G1360" s="3">
        <f t="shared" ca="1" si="132"/>
        <v>1.8363264161897521</v>
      </c>
      <c r="H1360">
        <f t="shared" ca="1" si="130"/>
        <v>0.48574271571627148</v>
      </c>
      <c r="I1360">
        <f t="shared" ca="1" si="131"/>
        <v>0.22861824716754889</v>
      </c>
    </row>
    <row r="1361" spans="1:9" x14ac:dyDescent="0.3">
      <c r="A1361" s="1">
        <v>42153</v>
      </c>
      <c r="B1361" t="s">
        <v>0</v>
      </c>
      <c r="C1361">
        <v>532.10998500000005</v>
      </c>
      <c r="D1361" s="2">
        <f t="shared" si="127"/>
        <v>-1.4209573507581476E-2</v>
      </c>
      <c r="E1361" s="2">
        <f t="shared" ca="1" si="128"/>
        <v>-3.5102716224726787</v>
      </c>
      <c r="F1361">
        <f t="shared" ca="1" si="129"/>
        <v>-3.5190043411687211</v>
      </c>
      <c r="G1361" s="3">
        <f t="shared" ca="1" si="132"/>
        <v>1.8310083793233569</v>
      </c>
      <c r="H1361">
        <f t="shared" ca="1" si="130"/>
        <v>-1.9218941764041284</v>
      </c>
      <c r="I1361">
        <f t="shared" ca="1" si="131"/>
        <v>-2.5163724890144286</v>
      </c>
    </row>
    <row r="1362" spans="1:9" x14ac:dyDescent="0.3">
      <c r="A1362" s="1">
        <v>42156</v>
      </c>
      <c r="B1362" t="s">
        <v>0</v>
      </c>
      <c r="C1362">
        <v>533.98999000000003</v>
      </c>
      <c r="D1362" s="2">
        <f t="shared" si="127"/>
        <v>3.5331135535823155E-3</v>
      </c>
      <c r="E1362" s="2">
        <f t="shared" ca="1" si="128"/>
        <v>-2.7700546306121012</v>
      </c>
      <c r="F1362">
        <f t="shared" ca="1" si="129"/>
        <v>-2.765806349793194</v>
      </c>
      <c r="G1362" s="3">
        <f t="shared" ca="1" si="132"/>
        <v>1.848377854051114</v>
      </c>
      <c r="H1362">
        <f t="shared" ca="1" si="130"/>
        <v>-1.4963425057984436</v>
      </c>
      <c r="I1362">
        <f t="shared" ca="1" si="131"/>
        <v>-2.034666071559617</v>
      </c>
    </row>
    <row r="1363" spans="1:9" x14ac:dyDescent="0.3">
      <c r="A1363" s="1">
        <v>42157</v>
      </c>
      <c r="B1363" t="s">
        <v>0</v>
      </c>
      <c r="C1363">
        <v>539.17999299999997</v>
      </c>
      <c r="D1363" s="2">
        <f t="shared" si="127"/>
        <v>9.7192889327381085E-3</v>
      </c>
      <c r="E1363" s="2">
        <f t="shared" ca="1" si="128"/>
        <v>0.53433636626060999</v>
      </c>
      <c r="F1363">
        <f t="shared" ca="1" si="129"/>
        <v>0.54213116840042586</v>
      </c>
      <c r="G1363" s="3">
        <f t="shared" ca="1" si="132"/>
        <v>1.8559276508781455</v>
      </c>
      <c r="H1363">
        <f t="shared" ca="1" si="130"/>
        <v>0.29210792141811809</v>
      </c>
      <c r="I1363">
        <f t="shared" ca="1" si="131"/>
        <v>1.2241731867782837</v>
      </c>
    </row>
    <row r="1364" spans="1:9" x14ac:dyDescent="0.3">
      <c r="A1364" s="1">
        <v>42158</v>
      </c>
      <c r="B1364" t="s">
        <v>0</v>
      </c>
      <c r="C1364">
        <v>540.30999799999995</v>
      </c>
      <c r="D1364" s="2">
        <f t="shared" si="127"/>
        <v>2.0957843663905809E-3</v>
      </c>
      <c r="E1364" s="2">
        <f t="shared" ca="1" si="128"/>
        <v>-3.6365172793190292</v>
      </c>
      <c r="F1364">
        <f t="shared" ca="1" si="129"/>
        <v>-3.6416152935280399</v>
      </c>
      <c r="G1364" s="3">
        <f t="shared" ca="1" si="132"/>
        <v>1.8493884391442819</v>
      </c>
      <c r="H1364">
        <f t="shared" ca="1" si="130"/>
        <v>-1.9690916285888687</v>
      </c>
      <c r="I1364">
        <f t="shared" ca="1" si="131"/>
        <v>-2.5848550215586052</v>
      </c>
    </row>
    <row r="1365" spans="1:9" x14ac:dyDescent="0.3">
      <c r="A1365" s="1">
        <v>42159</v>
      </c>
      <c r="B1365" t="s">
        <v>0</v>
      </c>
      <c r="C1365">
        <v>536.70001200000002</v>
      </c>
      <c r="D1365" s="2">
        <f t="shared" si="127"/>
        <v>-6.6813237092827882E-3</v>
      </c>
      <c r="E1365" s="2">
        <f t="shared" ca="1" si="128"/>
        <v>1.2299971336204998</v>
      </c>
      <c r="F1365">
        <f t="shared" ca="1" si="129"/>
        <v>1.2233200740290533</v>
      </c>
      <c r="G1365" s="3">
        <f t="shared" ca="1" si="132"/>
        <v>1.8674921075621267</v>
      </c>
      <c r="H1365">
        <f t="shared" ca="1" si="130"/>
        <v>0.65506037164783926</v>
      </c>
      <c r="I1365">
        <f t="shared" ca="1" si="131"/>
        <v>-0.40316689876351214</v>
      </c>
    </row>
    <row r="1366" spans="1:9" x14ac:dyDescent="0.3">
      <c r="A1366" s="1">
        <v>42160</v>
      </c>
      <c r="B1366" t="s">
        <v>0</v>
      </c>
      <c r="C1366">
        <v>533.330017</v>
      </c>
      <c r="D1366" s="2">
        <f t="shared" si="127"/>
        <v>-6.2791036419802002E-3</v>
      </c>
      <c r="E1366" s="2">
        <f t="shared" ca="1" si="128"/>
        <v>6.6636963120130144</v>
      </c>
      <c r="F1366">
        <f t="shared" ca="1" si="129"/>
        <v>6.6643834138362452</v>
      </c>
      <c r="G1366" s="3">
        <f t="shared" ca="1" si="132"/>
        <v>1.8630357149047869</v>
      </c>
      <c r="H1366">
        <f t="shared" ca="1" si="130"/>
        <v>3.5771635296733097</v>
      </c>
      <c r="I1366">
        <f t="shared" ca="1" si="131"/>
        <v>-3.7935557643165381</v>
      </c>
    </row>
    <row r="1367" spans="1:9" x14ac:dyDescent="0.3">
      <c r="A1367" s="1">
        <v>42163</v>
      </c>
      <c r="B1367" t="s">
        <v>0</v>
      </c>
      <c r="C1367">
        <v>526.830017</v>
      </c>
      <c r="D1367" s="2">
        <f t="shared" si="127"/>
        <v>-1.2187575783869671E-2</v>
      </c>
      <c r="E1367" s="2">
        <f t="shared" ca="1" si="128"/>
        <v>-2.1241482285455362</v>
      </c>
      <c r="F1367">
        <f t="shared" ca="1" si="129"/>
        <v>-2.1181155786316923</v>
      </c>
      <c r="G1367" s="3">
        <f t="shared" ca="1" si="132"/>
        <v>1.9369559596891137</v>
      </c>
      <c r="H1367">
        <f t="shared" ca="1" si="130"/>
        <v>-1.0935280010040369</v>
      </c>
      <c r="I1367">
        <f t="shared" ca="1" si="131"/>
        <v>-1.5010867389705735</v>
      </c>
    </row>
    <row r="1368" spans="1:9" x14ac:dyDescent="0.3">
      <c r="A1368" s="1">
        <v>42164</v>
      </c>
      <c r="B1368" t="s">
        <v>0</v>
      </c>
      <c r="C1368">
        <v>526.69000200000005</v>
      </c>
      <c r="D1368" s="2">
        <f t="shared" si="127"/>
        <v>-2.6576883526351628E-4</v>
      </c>
      <c r="E1368" s="2">
        <f t="shared" ca="1" si="128"/>
        <v>-1.4310388434887067</v>
      </c>
      <c r="F1368">
        <f t="shared" ca="1" si="129"/>
        <v>-1.4234949524833063</v>
      </c>
      <c r="G1368" s="3">
        <f t="shared" ca="1" si="132"/>
        <v>1.9363788235406478</v>
      </c>
      <c r="H1368">
        <f t="shared" ca="1" si="130"/>
        <v>-0.73513247262251147</v>
      </c>
      <c r="I1368">
        <f t="shared" ca="1" si="131"/>
        <v>-0.70623019861793557</v>
      </c>
    </row>
    <row r="1369" spans="1:9" x14ac:dyDescent="0.3">
      <c r="A1369" s="1">
        <v>42165</v>
      </c>
      <c r="B1369" t="s">
        <v>0</v>
      </c>
      <c r="C1369">
        <v>536.69000200000005</v>
      </c>
      <c r="D1369" s="2">
        <f t="shared" si="127"/>
        <v>1.8986500525977328E-2</v>
      </c>
      <c r="E1369" s="2">
        <f t="shared" ca="1" si="128"/>
        <v>-1.9313316493399151</v>
      </c>
      <c r="F1369">
        <f t="shared" ca="1" si="129"/>
        <v>-1.9236632430643321</v>
      </c>
      <c r="G1369" s="3">
        <f t="shared" ca="1" si="132"/>
        <v>1.9317370801509868</v>
      </c>
      <c r="H1369">
        <f t="shared" ca="1" si="130"/>
        <v>-0.9958204265116537</v>
      </c>
      <c r="I1369">
        <f t="shared" ca="1" si="131"/>
        <v>-1.3085600309920098</v>
      </c>
    </row>
    <row r="1370" spans="1:9" x14ac:dyDescent="0.3">
      <c r="A1370" s="1">
        <v>42166</v>
      </c>
      <c r="B1370" t="s">
        <v>0</v>
      </c>
      <c r="C1370">
        <v>534.60998500000005</v>
      </c>
      <c r="D1370" s="2">
        <f t="shared" si="127"/>
        <v>-3.8756395540232138E-3</v>
      </c>
      <c r="E1370" s="2">
        <f t="shared" ca="1" si="128"/>
        <v>0.48084341663196328</v>
      </c>
      <c r="F1370">
        <f t="shared" ca="1" si="129"/>
        <v>0.47534779171402758</v>
      </c>
      <c r="G1370" s="3">
        <f t="shared" ca="1" si="132"/>
        <v>1.929967434408957</v>
      </c>
      <c r="H1370">
        <f t="shared" ca="1" si="130"/>
        <v>0.24629834847943977</v>
      </c>
      <c r="I1370">
        <f t="shared" ca="1" si="131"/>
        <v>1.4873506237413487</v>
      </c>
    </row>
    <row r="1371" spans="1:9" x14ac:dyDescent="0.3">
      <c r="A1371" s="1">
        <v>42167</v>
      </c>
      <c r="B1371" t="s">
        <v>0</v>
      </c>
      <c r="C1371">
        <v>532.330017</v>
      </c>
      <c r="D1371" s="2">
        <f t="shared" si="127"/>
        <v>-4.2647314191111736E-3</v>
      </c>
      <c r="E1371" s="2">
        <f t="shared" ca="1" si="128"/>
        <v>1.4900867182404929</v>
      </c>
      <c r="F1371">
        <f t="shared" ca="1" si="129"/>
        <v>1.4794194688369353</v>
      </c>
      <c r="G1371" s="3">
        <f t="shared" ca="1" si="132"/>
        <v>1.9224116301988587</v>
      </c>
      <c r="H1371">
        <f t="shared" ca="1" si="130"/>
        <v>0.76956435635166265</v>
      </c>
      <c r="I1371">
        <f t="shared" ca="1" si="131"/>
        <v>-0.78330783007345028</v>
      </c>
    </row>
    <row r="1372" spans="1:9" x14ac:dyDescent="0.3">
      <c r="A1372" s="1">
        <v>42170</v>
      </c>
      <c r="B1372" t="s">
        <v>0</v>
      </c>
      <c r="C1372">
        <v>527.20001200000002</v>
      </c>
      <c r="D1372" s="2">
        <f t="shared" si="127"/>
        <v>-9.6368884642475134E-3</v>
      </c>
      <c r="E1372" s="2">
        <f t="shared" ca="1" si="128"/>
        <v>0.30544944733368162</v>
      </c>
      <c r="F1372">
        <f t="shared" ca="1" si="129"/>
        <v>0.30913439080794042</v>
      </c>
      <c r="G1372" s="3">
        <f t="shared" ca="1" si="132"/>
        <v>1.918275515974269</v>
      </c>
      <c r="H1372">
        <f t="shared" ca="1" si="130"/>
        <v>0.16115223711800064</v>
      </c>
      <c r="I1372">
        <f t="shared" ca="1" si="131"/>
        <v>2.3469865450976748</v>
      </c>
    </row>
    <row r="1373" spans="1:9" x14ac:dyDescent="0.3">
      <c r="A1373" s="1">
        <v>42171</v>
      </c>
      <c r="B1373" t="s">
        <v>0</v>
      </c>
      <c r="C1373">
        <v>528.15002400000003</v>
      </c>
      <c r="D1373" s="2">
        <f t="shared" si="127"/>
        <v>1.8019954066313929E-3</v>
      </c>
      <c r="E1373" s="2">
        <f t="shared" ca="1" si="128"/>
        <v>1.4868835772771543</v>
      </c>
      <c r="F1373">
        <f t="shared" ca="1" si="129"/>
        <v>1.4924125985430272</v>
      </c>
      <c r="G1373" s="3">
        <f t="shared" ca="1" si="132"/>
        <v>1.9106352456748177</v>
      </c>
      <c r="H1373">
        <f t="shared" ca="1" si="130"/>
        <v>0.78110806441023317</v>
      </c>
      <c r="I1373">
        <f t="shared" ca="1" si="131"/>
        <v>-0.80078946616549207</v>
      </c>
    </row>
    <row r="1374" spans="1:9" x14ac:dyDescent="0.3">
      <c r="A1374" s="1">
        <v>42172</v>
      </c>
      <c r="B1374" t="s">
        <v>0</v>
      </c>
      <c r="C1374">
        <v>529.26000999999997</v>
      </c>
      <c r="D1374" s="2">
        <f t="shared" si="127"/>
        <v>2.1016490572003366E-3</v>
      </c>
      <c r="E1374" s="2">
        <f t="shared" ca="1" si="128"/>
        <v>1.1246182609458308</v>
      </c>
      <c r="F1374">
        <f t="shared" ca="1" si="129"/>
        <v>1.1300818268144319</v>
      </c>
      <c r="G1374" s="3">
        <f t="shared" ca="1" si="132"/>
        <v>1.9067673837078019</v>
      </c>
      <c r="H1374">
        <f t="shared" ca="1" si="130"/>
        <v>0.59266895189749513</v>
      </c>
      <c r="I1374">
        <f t="shared" ca="1" si="131"/>
        <v>-0.24458354502752086</v>
      </c>
    </row>
    <row r="1375" spans="1:9" x14ac:dyDescent="0.3">
      <c r="A1375" s="1">
        <v>42173</v>
      </c>
      <c r="B1375" t="s">
        <v>0</v>
      </c>
      <c r="C1375">
        <v>536.72997999999995</v>
      </c>
      <c r="D1375" s="2">
        <f t="shared" si="127"/>
        <v>1.4113989076937799E-2</v>
      </c>
      <c r="E1375" s="2">
        <f t="shared" ca="1" si="128"/>
        <v>5.0614811269727022</v>
      </c>
      <c r="F1375">
        <f t="shared" ca="1" si="129"/>
        <v>5.0597323912666594</v>
      </c>
      <c r="G1375" s="3">
        <f t="shared" ca="1" si="132"/>
        <v>1.9013152870099301</v>
      </c>
      <c r="H1375">
        <f t="shared" ca="1" si="130"/>
        <v>2.6611748329356559</v>
      </c>
      <c r="I1375">
        <f t="shared" ca="1" si="131"/>
        <v>-3.2426349707607289</v>
      </c>
    </row>
    <row r="1376" spans="1:9" x14ac:dyDescent="0.3">
      <c r="A1376" s="1">
        <v>42174</v>
      </c>
      <c r="B1376" t="s">
        <v>0</v>
      </c>
      <c r="C1376">
        <v>536.69000200000005</v>
      </c>
      <c r="D1376" s="2">
        <f t="shared" si="127"/>
        <v>-7.4484380395344198E-5</v>
      </c>
      <c r="E1376" s="2">
        <f t="shared" ca="1" si="128"/>
        <v>-1.8495675446614159</v>
      </c>
      <c r="F1376">
        <f t="shared" ca="1" si="129"/>
        <v>-1.8550845383602594</v>
      </c>
      <c r="G1376" s="3">
        <f t="shared" ca="1" si="132"/>
        <v>1.9381277718727263</v>
      </c>
      <c r="H1376">
        <f t="shared" ca="1" si="130"/>
        <v>-0.9571528592089541</v>
      </c>
      <c r="I1376">
        <f t="shared" ca="1" si="131"/>
        <v>-1.2358605381341448</v>
      </c>
    </row>
    <row r="1377" spans="1:9" x14ac:dyDescent="0.3">
      <c r="A1377" s="1">
        <v>42177</v>
      </c>
      <c r="B1377" t="s">
        <v>0</v>
      </c>
      <c r="C1377">
        <v>538.19000200000005</v>
      </c>
      <c r="D1377" s="2">
        <f t="shared" si="127"/>
        <v>2.7949095276792579E-3</v>
      </c>
      <c r="E1377" s="2">
        <f t="shared" ca="1" si="128"/>
        <v>4.1975921037131343</v>
      </c>
      <c r="F1377">
        <f t="shared" ca="1" si="129"/>
        <v>4.1888255779914783</v>
      </c>
      <c r="G1377" s="3">
        <f t="shared" ca="1" si="132"/>
        <v>1.9357975452883336</v>
      </c>
      <c r="H1377">
        <f t="shared" ca="1" si="130"/>
        <v>2.1638758599456538</v>
      </c>
      <c r="I1377">
        <f t="shared" ca="1" si="131"/>
        <v>-2.864841251188071</v>
      </c>
    </row>
    <row r="1378" spans="1:9" x14ac:dyDescent="0.3">
      <c r="A1378" s="1">
        <v>42178</v>
      </c>
      <c r="B1378" t="s">
        <v>0</v>
      </c>
      <c r="C1378">
        <v>540.47997999999995</v>
      </c>
      <c r="D1378" s="2">
        <f t="shared" si="127"/>
        <v>4.2549619864545628E-3</v>
      </c>
      <c r="E1378" s="2">
        <f t="shared" ca="1" si="128"/>
        <v>6.2303273863929549</v>
      </c>
      <c r="F1378">
        <f t="shared" ca="1" si="129"/>
        <v>6.2295404221400137</v>
      </c>
      <c r="G1378" s="3">
        <f t="shared" ca="1" si="132"/>
        <v>1.956770810187179</v>
      </c>
      <c r="H1378">
        <f t="shared" ca="1" si="130"/>
        <v>3.1835820473753458</v>
      </c>
      <c r="I1378">
        <f t="shared" ca="1" si="131"/>
        <v>-3.6586055896527179</v>
      </c>
    </row>
    <row r="1379" spans="1:9" x14ac:dyDescent="0.3">
      <c r="A1379" s="1">
        <v>42179</v>
      </c>
      <c r="B1379" t="s">
        <v>0</v>
      </c>
      <c r="C1379">
        <v>537.84002699999996</v>
      </c>
      <c r="D1379" s="2">
        <f t="shared" si="127"/>
        <v>-4.8844602902775262E-3</v>
      </c>
      <c r="E1379" s="2">
        <f t="shared" ca="1" si="128"/>
        <v>-2.0641570102164533</v>
      </c>
      <c r="F1379">
        <f t="shared" ca="1" si="129"/>
        <v>-2.0671660737649975</v>
      </c>
      <c r="G1379" s="3">
        <f t="shared" ca="1" si="132"/>
        <v>2.0100781728680093</v>
      </c>
      <c r="H1379">
        <f t="shared" ca="1" si="130"/>
        <v>-1.0284008361801842</v>
      </c>
      <c r="I1379">
        <f t="shared" ca="1" si="131"/>
        <v>-1.4523628287634431</v>
      </c>
    </row>
    <row r="1380" spans="1:9" x14ac:dyDescent="0.3">
      <c r="A1380" s="1">
        <v>42180</v>
      </c>
      <c r="B1380" t="s">
        <v>0</v>
      </c>
      <c r="C1380">
        <v>535.22997999999995</v>
      </c>
      <c r="D1380" s="2">
        <f t="shared" si="127"/>
        <v>-4.8528314535429863E-3</v>
      </c>
      <c r="E1380" s="2">
        <f t="shared" ca="1" si="128"/>
        <v>-1.3306992961850043E-4</v>
      </c>
      <c r="F1380">
        <f t="shared" ca="1" si="129"/>
        <v>-1.3262434531281816E-3</v>
      </c>
      <c r="G1380" s="3">
        <f t="shared" ca="1" si="132"/>
        <v>2.0075967880140935</v>
      </c>
      <c r="H1380">
        <f t="shared" ca="1" si="130"/>
        <v>-6.6061246015445977E-4</v>
      </c>
      <c r="I1380">
        <f t="shared" ca="1" si="131"/>
        <v>-0.13805992247747412</v>
      </c>
    </row>
    <row r="1381" spans="1:9" x14ac:dyDescent="0.3">
      <c r="A1381" s="1">
        <v>42181</v>
      </c>
      <c r="B1381" t="s">
        <v>0</v>
      </c>
      <c r="C1381">
        <v>531.69000200000005</v>
      </c>
      <c r="D1381" s="2">
        <f t="shared" si="127"/>
        <v>-6.6139381803685697E-3</v>
      </c>
      <c r="E1381" s="2">
        <f t="shared" ca="1" si="128"/>
        <v>-1.2065687417512474</v>
      </c>
      <c r="F1381">
        <f t="shared" ca="1" si="129"/>
        <v>-1.2020802578300804</v>
      </c>
      <c r="G1381" s="3">
        <f t="shared" ca="1" si="132"/>
        <v>1.9988011481129884</v>
      </c>
      <c r="H1381">
        <f t="shared" ca="1" si="130"/>
        <v>-0.60140062405153727</v>
      </c>
      <c r="I1381">
        <f t="shared" ca="1" si="131"/>
        <v>-0.36813748110232275</v>
      </c>
    </row>
    <row r="1382" spans="1:9" x14ac:dyDescent="0.3">
      <c r="A1382" s="1">
        <v>42184</v>
      </c>
      <c r="B1382" t="s">
        <v>0</v>
      </c>
      <c r="C1382">
        <v>521.52002000000005</v>
      </c>
      <c r="D1382" s="2">
        <f t="shared" si="127"/>
        <v>-1.9127653259878308E-2</v>
      </c>
      <c r="E1382" s="2">
        <f t="shared" ca="1" si="128"/>
        <v>-2.9791347031438717</v>
      </c>
      <c r="F1382">
        <f t="shared" ca="1" si="129"/>
        <v>-2.9741408132318159</v>
      </c>
      <c r="G1382" s="3">
        <f t="shared" ca="1" si="132"/>
        <v>1.9922850446194555</v>
      </c>
      <c r="H1382">
        <f t="shared" ca="1" si="130"/>
        <v>-1.4928289610284675</v>
      </c>
      <c r="I1382">
        <f t="shared" ca="1" si="131"/>
        <v>-2.1799517519077702</v>
      </c>
    </row>
    <row r="1383" spans="1:9" x14ac:dyDescent="0.3">
      <c r="A1383" s="1">
        <v>42185</v>
      </c>
      <c r="B1383" t="s">
        <v>0</v>
      </c>
      <c r="C1383">
        <v>520.51000999999997</v>
      </c>
      <c r="D1383" s="2">
        <f t="shared" si="127"/>
        <v>-1.9366658254079665E-3</v>
      </c>
      <c r="E1383" s="2">
        <f t="shared" ca="1" si="128"/>
        <v>0.56446269604529808</v>
      </c>
      <c r="F1383">
        <f t="shared" ca="1" si="129"/>
        <v>0.57428437867018334</v>
      </c>
      <c r="G1383" s="3">
        <f t="shared" ca="1" si="132"/>
        <v>1.9971141065336813</v>
      </c>
      <c r="H1383">
        <f t="shared" ca="1" si="130"/>
        <v>0.28755711894046354</v>
      </c>
      <c r="I1383">
        <f t="shared" ca="1" si="131"/>
        <v>1.1092497717665659</v>
      </c>
    </row>
    <row r="1384" spans="1:9" x14ac:dyDescent="0.3">
      <c r="A1384" s="1">
        <v>42186</v>
      </c>
      <c r="B1384" t="s">
        <v>0</v>
      </c>
      <c r="C1384">
        <v>521.84002699999996</v>
      </c>
      <c r="D1384" s="2">
        <f t="shared" si="127"/>
        <v>2.5552188708147959E-3</v>
      </c>
      <c r="E1384" s="2">
        <f t="shared" ca="1" si="128"/>
        <v>0.24166185603191925</v>
      </c>
      <c r="F1384">
        <f t="shared" ca="1" si="129"/>
        <v>0.25415002937087366</v>
      </c>
      <c r="G1384" s="3">
        <f t="shared" ca="1" si="132"/>
        <v>1.9889332010009364</v>
      </c>
      <c r="H1384">
        <f t="shared" ca="1" si="130"/>
        <v>0.12778208400511989</v>
      </c>
      <c r="I1384">
        <f t="shared" ca="1" si="131"/>
        <v>2.7395599565693258</v>
      </c>
    </row>
    <row r="1385" spans="1:9" x14ac:dyDescent="0.3">
      <c r="A1385" s="1">
        <v>42187</v>
      </c>
      <c r="B1385" t="s">
        <v>0</v>
      </c>
      <c r="C1385">
        <v>523.40002400000003</v>
      </c>
      <c r="D1385" s="2">
        <f t="shared" si="127"/>
        <v>2.9894161415104838E-3</v>
      </c>
      <c r="E1385" s="2">
        <f t="shared" ca="1" si="128"/>
        <v>-1.6869523272599778</v>
      </c>
      <c r="F1385">
        <f t="shared" ca="1" si="129"/>
        <v>-1.6865082498062669</v>
      </c>
      <c r="G1385" s="3">
        <f t="shared" ca="1" si="132"/>
        <v>1.9804416648143099</v>
      </c>
      <c r="H1385">
        <f t="shared" ca="1" si="130"/>
        <v>-0.85158188689410208</v>
      </c>
      <c r="I1385">
        <f t="shared" ca="1" si="131"/>
        <v>-1.0453236762858891</v>
      </c>
    </row>
    <row r="1386" spans="1:9" x14ac:dyDescent="0.3">
      <c r="A1386" s="1">
        <v>42191</v>
      </c>
      <c r="B1386" t="s">
        <v>0</v>
      </c>
      <c r="C1386">
        <v>522.85998500000005</v>
      </c>
      <c r="D1386" s="2">
        <f t="shared" si="127"/>
        <v>-1.0317901704948696E-3</v>
      </c>
      <c r="E1386" s="2">
        <f t="shared" ca="1" si="128"/>
        <v>1.6800146927484623</v>
      </c>
      <c r="F1386">
        <f t="shared" ca="1" si="129"/>
        <v>1.6775322258148258</v>
      </c>
      <c r="G1386" s="3">
        <f t="shared" ca="1" si="132"/>
        <v>1.9763596338653338</v>
      </c>
      <c r="H1386">
        <f t="shared" ca="1" si="130"/>
        <v>0.84879907334169447</v>
      </c>
      <c r="I1386">
        <f t="shared" ca="1" si="131"/>
        <v>-1.0346479789021721</v>
      </c>
    </row>
    <row r="1387" spans="1:9" x14ac:dyDescent="0.3">
      <c r="A1387" s="1">
        <v>42192</v>
      </c>
      <c r="B1387" t="s">
        <v>0</v>
      </c>
      <c r="C1387">
        <v>525.02002000000005</v>
      </c>
      <c r="D1387" s="2">
        <f t="shared" si="127"/>
        <v>4.1311920245723013E-3</v>
      </c>
      <c r="E1387" s="2">
        <f t="shared" ca="1" si="128"/>
        <v>-2.9500780786121577</v>
      </c>
      <c r="F1387">
        <f t="shared" ca="1" si="129"/>
        <v>-2.9516319340008126</v>
      </c>
      <c r="G1387" s="3">
        <f t="shared" ca="1" si="132"/>
        <v>1.9723029162628025</v>
      </c>
      <c r="H1387">
        <f t="shared" ca="1" si="130"/>
        <v>-1.4965408759794776</v>
      </c>
      <c r="I1387">
        <f t="shared" ca="1" si="131"/>
        <v>-2.1647183896846252</v>
      </c>
    </row>
    <row r="1388" spans="1:9" x14ac:dyDescent="0.3">
      <c r="A1388" s="1">
        <v>42193</v>
      </c>
      <c r="B1388" t="s">
        <v>0</v>
      </c>
      <c r="C1388">
        <v>516.830017</v>
      </c>
      <c r="D1388" s="2">
        <f t="shared" si="127"/>
        <v>-1.5599410856751799E-2</v>
      </c>
      <c r="E1388" s="2">
        <f t="shared" ca="1" si="128"/>
        <v>-1.3203955577686557</v>
      </c>
      <c r="F1388">
        <f t="shared" ca="1" si="129"/>
        <v>-1.3209848441267988</v>
      </c>
      <c r="G1388" s="3">
        <f t="shared" ca="1" si="132"/>
        <v>1.9775544597558024</v>
      </c>
      <c r="H1388">
        <f t="shared" ca="1" si="130"/>
        <v>-0.66798911029227492</v>
      </c>
      <c r="I1388">
        <f t="shared" ca="1" si="131"/>
        <v>-0.5568945555958611</v>
      </c>
    </row>
    <row r="1389" spans="1:9" x14ac:dyDescent="0.3">
      <c r="A1389" s="1">
        <v>42194</v>
      </c>
      <c r="B1389" t="s">
        <v>0</v>
      </c>
      <c r="C1389">
        <v>520.67999299999997</v>
      </c>
      <c r="D1389" s="2">
        <f t="shared" si="127"/>
        <v>7.4492112945521308E-3</v>
      </c>
      <c r="E1389" s="2">
        <f t="shared" ca="1" si="128"/>
        <v>0.83489597710342012</v>
      </c>
      <c r="F1389">
        <f t="shared" ca="1" si="129"/>
        <v>0.83697470268267526</v>
      </c>
      <c r="G1389" s="3">
        <f t="shared" ca="1" si="132"/>
        <v>1.971811000904903</v>
      </c>
      <c r="H1389">
        <f t="shared" ca="1" si="130"/>
        <v>0.42447004418708034</v>
      </c>
      <c r="I1389">
        <f t="shared" ca="1" si="131"/>
        <v>0.35584365258927342</v>
      </c>
    </row>
    <row r="1390" spans="1:9" x14ac:dyDescent="0.3">
      <c r="A1390" s="1">
        <v>42195</v>
      </c>
      <c r="B1390" t="s">
        <v>0</v>
      </c>
      <c r="C1390">
        <v>530.13000499999998</v>
      </c>
      <c r="D1390" s="2">
        <f t="shared" si="127"/>
        <v>1.8149366457412577E-2</v>
      </c>
      <c r="E1390" s="2">
        <f t="shared" ca="1" si="128"/>
        <v>3.0728857095120152</v>
      </c>
      <c r="F1390">
        <f t="shared" ca="1" si="129"/>
        <v>3.0803783137713063</v>
      </c>
      <c r="G1390" s="3">
        <f t="shared" ca="1" si="132"/>
        <v>1.9645120669931979</v>
      </c>
      <c r="H1390">
        <f t="shared" ca="1" si="130"/>
        <v>1.5680119076519636</v>
      </c>
      <c r="I1390">
        <f t="shared" ca="1" si="131"/>
        <v>-2.2501395519908316</v>
      </c>
    </row>
    <row r="1391" spans="1:9" x14ac:dyDescent="0.3">
      <c r="A1391" s="1">
        <v>42198</v>
      </c>
      <c r="B1391" t="s">
        <v>0</v>
      </c>
      <c r="C1391">
        <v>546.54998799999998</v>
      </c>
      <c r="D1391" s="2">
        <f t="shared" si="127"/>
        <v>3.0973502433615321E-2</v>
      </c>
      <c r="E1391" s="2">
        <f t="shared" ca="1" si="128"/>
        <v>-1.8097390819494115</v>
      </c>
      <c r="F1391">
        <f t="shared" ca="1" si="129"/>
        <v>-1.8197891950687357</v>
      </c>
      <c r="G1391" s="3">
        <f t="shared" ca="1" si="132"/>
        <v>1.9712392440568856</v>
      </c>
      <c r="H1391">
        <f t="shared" ca="1" si="130"/>
        <v>-0.92317013297865369</v>
      </c>
      <c r="I1391">
        <f t="shared" ca="1" si="131"/>
        <v>-1.1977310283030371</v>
      </c>
    </row>
    <row r="1392" spans="1:9" x14ac:dyDescent="0.3">
      <c r="A1392" s="1">
        <v>42199</v>
      </c>
      <c r="B1392" t="s">
        <v>0</v>
      </c>
      <c r="C1392">
        <v>561.09997599999997</v>
      </c>
      <c r="D1392" s="2">
        <f t="shared" si="127"/>
        <v>2.6621513712301068E-2</v>
      </c>
      <c r="E1392" s="2">
        <f t="shared" ca="1" si="128"/>
        <v>-0.96588911697952584</v>
      </c>
      <c r="F1392">
        <f t="shared" ca="1" si="129"/>
        <v>-0.98642589553690674</v>
      </c>
      <c r="G1392" s="3">
        <f t="shared" ca="1" si="132"/>
        <v>1.9680554468289686</v>
      </c>
      <c r="H1392">
        <f t="shared" ca="1" si="130"/>
        <v>-0.50121854906389274</v>
      </c>
      <c r="I1392">
        <f t="shared" ca="1" si="131"/>
        <v>2.6605805783279816E-2</v>
      </c>
    </row>
    <row r="1393" spans="1:9" x14ac:dyDescent="0.3">
      <c r="A1393" s="1">
        <v>42200</v>
      </c>
      <c r="B1393" t="s">
        <v>0</v>
      </c>
      <c r="C1393">
        <v>560.21997099999999</v>
      </c>
      <c r="D1393" s="2">
        <f t="shared" si="127"/>
        <v>-1.56835686622803E-3</v>
      </c>
      <c r="E1393" s="2">
        <f t="shared" ca="1" si="128"/>
        <v>-0.27454094530674883</v>
      </c>
      <c r="F1393">
        <f t="shared" ca="1" si="129"/>
        <v>-0.30176565835311997</v>
      </c>
      <c r="G1393" s="3">
        <f t="shared" ca="1" si="132"/>
        <v>1.9612356303523133</v>
      </c>
      <c r="H1393">
        <f t="shared" ca="1" si="130"/>
        <v>-0.15386507040916408</v>
      </c>
      <c r="I1393">
        <f t="shared" ca="1" si="131"/>
        <v>2.3961820454952201</v>
      </c>
    </row>
    <row r="1394" spans="1:9" x14ac:dyDescent="0.3">
      <c r="A1394" s="1">
        <v>42201</v>
      </c>
      <c r="B1394" t="s">
        <v>0</v>
      </c>
      <c r="C1394">
        <v>579.84997599999997</v>
      </c>
      <c r="D1394" s="2">
        <f t="shared" si="127"/>
        <v>3.503981652949674E-2</v>
      </c>
      <c r="E1394" s="2">
        <f t="shared" ca="1" si="128"/>
        <v>-3.9616062630853408</v>
      </c>
      <c r="F1394">
        <f t="shared" ca="1" si="129"/>
        <v>-3.9777157619461105</v>
      </c>
      <c r="G1394" s="3">
        <f t="shared" ca="1" si="132"/>
        <v>1.9530970963712546</v>
      </c>
      <c r="H1394">
        <f t="shared" ca="1" si="130"/>
        <v>-2.036619566603465</v>
      </c>
      <c r="I1394">
        <f t="shared" ca="1" si="131"/>
        <v>-2.7614930497587262</v>
      </c>
    </row>
    <row r="1395" spans="1:9" x14ac:dyDescent="0.3">
      <c r="A1395" s="1">
        <v>42202</v>
      </c>
      <c r="B1395" t="s">
        <v>0</v>
      </c>
      <c r="C1395">
        <v>672.92999299999997</v>
      </c>
      <c r="D1395" s="2">
        <f t="shared" si="127"/>
        <v>0.16052430948104413</v>
      </c>
      <c r="E1395" s="2">
        <f t="shared" ca="1" si="128"/>
        <v>2.4257692899723526</v>
      </c>
      <c r="F1395">
        <f t="shared" ca="1" si="129"/>
        <v>2.4162982382811493</v>
      </c>
      <c r="G1395" s="3">
        <f t="shared" ca="1" si="132"/>
        <v>1.9703682097028836</v>
      </c>
      <c r="H1395">
        <f t="shared" ca="1" si="130"/>
        <v>1.226318119822644</v>
      </c>
      <c r="I1395">
        <f t="shared" ca="1" si="131"/>
        <v>-1.7688869046366562</v>
      </c>
    </row>
    <row r="1396" spans="1:9" x14ac:dyDescent="0.3">
      <c r="A1396" s="1">
        <v>42205</v>
      </c>
      <c r="B1396" t="s">
        <v>0</v>
      </c>
      <c r="C1396">
        <v>663.02002000000005</v>
      </c>
      <c r="D1396" s="2">
        <f t="shared" si="127"/>
        <v>-1.472660321740173E-2</v>
      </c>
      <c r="E1396" s="2">
        <f t="shared" ca="1" si="128"/>
        <v>-0.5098298350864422</v>
      </c>
      <c r="F1396">
        <f t="shared" ca="1" si="129"/>
        <v>-0.57951181458469914</v>
      </c>
      <c r="G1396" s="3">
        <f t="shared" ca="1" si="132"/>
        <v>1.971173343095626</v>
      </c>
      <c r="H1396">
        <f t="shared" ca="1" si="130"/>
        <v>-0.29399332971630276</v>
      </c>
      <c r="I1396">
        <f t="shared" ca="1" si="131"/>
        <v>1.0904926836820468</v>
      </c>
    </row>
    <row r="1397" spans="1:9" x14ac:dyDescent="0.3">
      <c r="A1397" s="1">
        <v>42206</v>
      </c>
      <c r="B1397" t="s">
        <v>0</v>
      </c>
      <c r="C1397">
        <v>662.29998799999998</v>
      </c>
      <c r="D1397" s="2">
        <f t="shared" si="127"/>
        <v>-1.0859883235502603E-3</v>
      </c>
      <c r="E1397" s="2">
        <f t="shared" ca="1" si="128"/>
        <v>0.22068393039385692</v>
      </c>
      <c r="F1397">
        <f t="shared" ca="1" si="129"/>
        <v>0.12511693711378044</v>
      </c>
      <c r="G1397" s="3">
        <f t="shared" ca="1" si="132"/>
        <v>1.963308054787805</v>
      </c>
      <c r="H1397">
        <f t="shared" ca="1" si="130"/>
        <v>6.3727613610439313E-2</v>
      </c>
      <c r="I1397">
        <f t="shared" ca="1" si="131"/>
        <v>4.1569376254515147</v>
      </c>
    </row>
    <row r="1398" spans="1:9" x14ac:dyDescent="0.3">
      <c r="A1398" s="1">
        <v>42207</v>
      </c>
      <c r="B1398" t="s">
        <v>0</v>
      </c>
      <c r="C1398">
        <v>662.09997599999997</v>
      </c>
      <c r="D1398" s="2">
        <f t="shared" si="127"/>
        <v>-3.0199607975836952E-4</v>
      </c>
      <c r="E1398" s="2">
        <f t="shared" ca="1" si="128"/>
        <v>0.94391523200216643</v>
      </c>
      <c r="F1398">
        <f t="shared" ca="1" si="129"/>
        <v>0.95340924338109034</v>
      </c>
      <c r="G1398" s="3">
        <f t="shared" ca="1" si="132"/>
        <v>1.9550257814283498</v>
      </c>
      <c r="H1398">
        <f t="shared" ca="1" si="130"/>
        <v>0.48767093121632682</v>
      </c>
      <c r="I1398">
        <f t="shared" ca="1" si="131"/>
        <v>9.542198183118468E-2</v>
      </c>
    </row>
    <row r="1399" spans="1:9" x14ac:dyDescent="0.3">
      <c r="A1399" s="1">
        <v>42208</v>
      </c>
      <c r="B1399" t="s">
        <v>0</v>
      </c>
      <c r="C1399">
        <v>644.28002900000001</v>
      </c>
      <c r="D1399" s="2">
        <f t="shared" si="127"/>
        <v>-2.6914284316482073E-2</v>
      </c>
      <c r="E1399" s="2">
        <f t="shared" ca="1" si="128"/>
        <v>-3.0720221143660709</v>
      </c>
      <c r="F1399">
        <f t="shared" ca="1" si="129"/>
        <v>-3.0712558282290741</v>
      </c>
      <c r="G1399" s="3">
        <f t="shared" ca="1" si="132"/>
        <v>1.9482782563285688</v>
      </c>
      <c r="H1399">
        <f t="shared" ca="1" si="130"/>
        <v>-1.5763948595395707</v>
      </c>
      <c r="I1399">
        <f t="shared" ca="1" si="131"/>
        <v>-2.2442498801802828</v>
      </c>
    </row>
    <row r="1400" spans="1:9" x14ac:dyDescent="0.3">
      <c r="A1400" s="1">
        <v>42209</v>
      </c>
      <c r="B1400" t="s">
        <v>0</v>
      </c>
      <c r="C1400">
        <v>623.55999799999995</v>
      </c>
      <c r="D1400" s="2">
        <f t="shared" si="127"/>
        <v>-3.2159977133173041E-2</v>
      </c>
      <c r="E1400" s="2">
        <f t="shared" ca="1" si="128"/>
        <v>-3.2239865815435356</v>
      </c>
      <c r="F1400">
        <f t="shared" ca="1" si="129"/>
        <v>-3.2157736201413836</v>
      </c>
      <c r="G1400" s="3">
        <f t="shared" ca="1" si="132"/>
        <v>1.9554716317222498</v>
      </c>
      <c r="H1400">
        <f t="shared" ca="1" si="130"/>
        <v>-1.6445002668277746</v>
      </c>
      <c r="I1400">
        <f t="shared" ca="1" si="131"/>
        <v>-2.336235928121654</v>
      </c>
    </row>
    <row r="1401" spans="1:9" x14ac:dyDescent="0.3">
      <c r="A1401" s="1">
        <v>42212</v>
      </c>
      <c r="B1401" t="s">
        <v>0</v>
      </c>
      <c r="C1401">
        <v>627.26000999999997</v>
      </c>
      <c r="D1401" s="2">
        <f t="shared" si="127"/>
        <v>5.9336904417656624E-3</v>
      </c>
      <c r="E1401" s="2">
        <f t="shared" ca="1" si="128"/>
        <v>0.13511222474320525</v>
      </c>
      <c r="F1401">
        <f t="shared" ca="1" si="129"/>
        <v>0.16146065445865138</v>
      </c>
      <c r="G1401" s="3">
        <f t="shared" ca="1" si="132"/>
        <v>1.9638721821678355</v>
      </c>
      <c r="H1401">
        <f t="shared" ca="1" si="130"/>
        <v>8.2215459806768976E-2</v>
      </c>
      <c r="I1401">
        <f t="shared" ca="1" si="131"/>
        <v>3.6456370156028592</v>
      </c>
    </row>
    <row r="1402" spans="1:9" x14ac:dyDescent="0.3">
      <c r="A1402" s="1">
        <v>42213</v>
      </c>
      <c r="B1402" t="s">
        <v>0</v>
      </c>
      <c r="C1402">
        <v>628</v>
      </c>
      <c r="D1402" s="2">
        <f t="shared" si="127"/>
        <v>1.1797181204011944E-3</v>
      </c>
      <c r="E1402" s="2">
        <f t="shared" ca="1" si="128"/>
        <v>1.0276667292693549</v>
      </c>
      <c r="F1402">
        <f t="shared" ca="1" si="129"/>
        <v>1.0459234194039613</v>
      </c>
      <c r="G1402" s="3">
        <f t="shared" ca="1" si="132"/>
        <v>1.95560022101062</v>
      </c>
      <c r="H1402">
        <f t="shared" ca="1" si="130"/>
        <v>0.53483498731834178</v>
      </c>
      <c r="I1402">
        <f t="shared" ca="1" si="131"/>
        <v>-8.9801572515153402E-2</v>
      </c>
    </row>
    <row r="1403" spans="1:9" x14ac:dyDescent="0.3">
      <c r="A1403" s="1">
        <v>42214</v>
      </c>
      <c r="B1403" t="s">
        <v>0</v>
      </c>
      <c r="C1403">
        <v>631.92999299999997</v>
      </c>
      <c r="D1403" s="2">
        <f t="shared" si="127"/>
        <v>6.2579506369426236E-3</v>
      </c>
      <c r="E1403" s="2">
        <f t="shared" ca="1" si="128"/>
        <v>-1.088093813570449</v>
      </c>
      <c r="F1403">
        <f t="shared" ca="1" si="129"/>
        <v>-1.0921404541868867</v>
      </c>
      <c r="G1403" s="3">
        <f t="shared" ca="1" si="132"/>
        <v>1.9491432588138065</v>
      </c>
      <c r="H1403">
        <f t="shared" ca="1" si="130"/>
        <v>-0.56031820608790572</v>
      </c>
      <c r="I1403">
        <f t="shared" ca="1" si="131"/>
        <v>-0.17631181295535428</v>
      </c>
    </row>
    <row r="1404" spans="1:9" x14ac:dyDescent="0.3">
      <c r="A1404" s="1">
        <v>42215</v>
      </c>
      <c r="B1404" t="s">
        <v>0</v>
      </c>
      <c r="C1404">
        <v>632.59002699999996</v>
      </c>
      <c r="D1404" s="2">
        <f t="shared" si="127"/>
        <v>1.0444732918381927E-3</v>
      </c>
      <c r="E1404" s="2">
        <f t="shared" ca="1" si="128"/>
        <v>0.76405500570413465</v>
      </c>
      <c r="F1404">
        <f t="shared" ca="1" si="129"/>
        <v>0.761454494517667</v>
      </c>
      <c r="G1404" s="3">
        <f t="shared" ca="1" si="132"/>
        <v>1.9429366754554609</v>
      </c>
      <c r="H1404">
        <f t="shared" ca="1" si="130"/>
        <v>0.39190906432355432</v>
      </c>
      <c r="I1404">
        <f t="shared" ca="1" si="131"/>
        <v>0.54504785073760365</v>
      </c>
    </row>
    <row r="1405" spans="1:9" x14ac:dyDescent="0.3">
      <c r="A1405" s="1">
        <v>42216</v>
      </c>
      <c r="B1405" t="s">
        <v>0</v>
      </c>
      <c r="C1405">
        <v>625.60998500000005</v>
      </c>
      <c r="D1405" s="2">
        <f t="shared" si="127"/>
        <v>-1.1034068989519356E-2</v>
      </c>
      <c r="E1405" s="2">
        <f t="shared" ca="1" si="128"/>
        <v>1.1072381017364052</v>
      </c>
      <c r="F1405">
        <f t="shared" ca="1" si="129"/>
        <v>1.1030298707011232</v>
      </c>
      <c r="G1405" s="3">
        <f t="shared" ca="1" si="132"/>
        <v>1.9358101690366067</v>
      </c>
      <c r="H1405">
        <f t="shared" ca="1" si="130"/>
        <v>0.56980270500906982</v>
      </c>
      <c r="I1405">
        <f t="shared" ca="1" si="131"/>
        <v>-0.19622171083268361</v>
      </c>
    </row>
    <row r="1406" spans="1:9" x14ac:dyDescent="0.3">
      <c r="A1406" s="1">
        <v>42219</v>
      </c>
      <c r="B1406" t="s">
        <v>0</v>
      </c>
      <c r="C1406">
        <v>631.21002199999998</v>
      </c>
      <c r="D1406" s="2">
        <f t="shared" si="127"/>
        <v>8.9513229236581459E-3</v>
      </c>
      <c r="E1406" s="2">
        <f t="shared" ca="1" si="128"/>
        <v>0.82439532164910645</v>
      </c>
      <c r="F1406">
        <f t="shared" ca="1" si="129"/>
        <v>0.82703490962085324</v>
      </c>
      <c r="G1406" s="3">
        <f t="shared" ca="1" si="132"/>
        <v>1.929832633263012</v>
      </c>
      <c r="H1406">
        <f t="shared" ca="1" si="130"/>
        <v>0.42855266066388398</v>
      </c>
      <c r="I1406">
        <f t="shared" ca="1" si="131"/>
        <v>0.37969959916907475</v>
      </c>
    </row>
    <row r="1407" spans="1:9" x14ac:dyDescent="0.3">
      <c r="A1407" s="1">
        <v>42220</v>
      </c>
      <c r="B1407" t="s">
        <v>0</v>
      </c>
      <c r="C1407">
        <v>629.25</v>
      </c>
      <c r="D1407" s="2">
        <f t="shared" si="127"/>
        <v>-3.1051820023224866E-3</v>
      </c>
      <c r="E1407" s="2">
        <f t="shared" ca="1" si="128"/>
        <v>-1.3445839277244653</v>
      </c>
      <c r="F1407">
        <f t="shared" ca="1" si="129"/>
        <v>-1.3403820245454878</v>
      </c>
      <c r="G1407" s="3">
        <f t="shared" ca="1" si="132"/>
        <v>1.9230472062526547</v>
      </c>
      <c r="H1407">
        <f t="shared" ca="1" si="130"/>
        <v>-0.69700942347506012</v>
      </c>
      <c r="I1407">
        <f t="shared" ca="1" si="131"/>
        <v>-0.58591469937066298</v>
      </c>
    </row>
    <row r="1408" spans="1:9" x14ac:dyDescent="0.3">
      <c r="A1408" s="1">
        <v>42221</v>
      </c>
      <c r="B1408" t="s">
        <v>0</v>
      </c>
      <c r="C1408">
        <v>643.78002900000001</v>
      </c>
      <c r="D1408" s="2">
        <f t="shared" si="127"/>
        <v>2.3091027413587626E-2</v>
      </c>
      <c r="E1408" s="2">
        <f t="shared" ca="1" si="128"/>
        <v>-1.2662500910030805</v>
      </c>
      <c r="F1408">
        <f t="shared" ca="1" si="129"/>
        <v>-1.270898192268056</v>
      </c>
      <c r="G1408" s="3">
        <f t="shared" ca="1" si="132"/>
        <v>1.9182361565671555</v>
      </c>
      <c r="H1408">
        <f t="shared" ca="1" si="130"/>
        <v>-0.66253479161941919</v>
      </c>
      <c r="I1408">
        <f t="shared" ca="1" si="131"/>
        <v>-0.47977789179953179</v>
      </c>
    </row>
    <row r="1409" spans="1:9" x14ac:dyDescent="0.3">
      <c r="A1409" s="1">
        <v>42222</v>
      </c>
      <c r="B1409" t="s">
        <v>0</v>
      </c>
      <c r="C1409">
        <v>642.67999299999997</v>
      </c>
      <c r="D1409" s="2">
        <f t="shared" si="127"/>
        <v>-1.7087140800387355E-3</v>
      </c>
      <c r="E1409" s="2">
        <f t="shared" ca="1" si="128"/>
        <v>-0.57475117055834168</v>
      </c>
      <c r="F1409">
        <f t="shared" ca="1" si="129"/>
        <v>-0.57970253034144215</v>
      </c>
      <c r="G1409" s="3">
        <f t="shared" ca="1" si="132"/>
        <v>1.9131924237856592</v>
      </c>
      <c r="H1409">
        <f t="shared" ca="1" si="130"/>
        <v>-0.30300273152575896</v>
      </c>
      <c r="I1409">
        <f t="shared" ca="1" si="131"/>
        <v>1.0904716832893235</v>
      </c>
    </row>
    <row r="1410" spans="1:9" x14ac:dyDescent="0.3">
      <c r="A1410" s="1">
        <v>42223</v>
      </c>
      <c r="B1410" t="s">
        <v>0</v>
      </c>
      <c r="C1410">
        <v>635.29998799999998</v>
      </c>
      <c r="D1410" s="2">
        <f t="shared" si="127"/>
        <v>-1.1483172154699366E-2</v>
      </c>
      <c r="E1410" s="2">
        <f t="shared" ca="1" si="128"/>
        <v>4.9205921262648458</v>
      </c>
      <c r="F1410">
        <f t="shared" ca="1" si="129"/>
        <v>4.9067228992340937</v>
      </c>
      <c r="G1410" s="3">
        <f t="shared" ca="1" si="132"/>
        <v>1.9060251009566072</v>
      </c>
      <c r="H1410">
        <f t="shared" ca="1" si="130"/>
        <v>2.574322288185753</v>
      </c>
      <c r="I1410">
        <f t="shared" ca="1" si="131"/>
        <v>-3.1812180469914551</v>
      </c>
    </row>
    <row r="1411" spans="1:9" x14ac:dyDescent="0.3">
      <c r="A1411" s="1">
        <v>42226</v>
      </c>
      <c r="B1411" t="s">
        <v>0</v>
      </c>
      <c r="C1411">
        <v>633.72997999999995</v>
      </c>
      <c r="D1411" s="2">
        <f t="shared" si="127"/>
        <v>-2.4712860532905122E-3</v>
      </c>
      <c r="E1411" s="2">
        <f t="shared" ca="1" si="128"/>
        <v>-0.8157851537755364</v>
      </c>
      <c r="F1411">
        <f t="shared" ca="1" si="129"/>
        <v>-0.81129725807603714</v>
      </c>
      <c r="G1411" s="3">
        <f t="shared" ca="1" si="132"/>
        <v>1.9398626059006008</v>
      </c>
      <c r="H1411">
        <f t="shared" ca="1" si="130"/>
        <v>-0.41822408226658103</v>
      </c>
      <c r="I1411">
        <f t="shared" ca="1" si="131"/>
        <v>0.41823223983175167</v>
      </c>
    </row>
    <row r="1412" spans="1:9" x14ac:dyDescent="0.3">
      <c r="A1412" s="1">
        <v>42227</v>
      </c>
      <c r="B1412" t="s">
        <v>0</v>
      </c>
      <c r="C1412">
        <v>660.78002900000001</v>
      </c>
      <c r="D1412" s="2">
        <f t="shared" ref="D1412:D1475" si="133">(C1412-C1411)/C1411</f>
        <v>4.2683871449477676E-2</v>
      </c>
      <c r="E1412" s="2">
        <f t="shared" ca="1" si="128"/>
        <v>-0.90341893725182409</v>
      </c>
      <c r="F1412">
        <f t="shared" ca="1" si="129"/>
        <v>-0.89553155177700738</v>
      </c>
      <c r="G1412" s="3">
        <f t="shared" ca="1" si="132"/>
        <v>1.9329045303015442</v>
      </c>
      <c r="H1412">
        <f t="shared" ca="1" si="130"/>
        <v>-0.46330873446568999</v>
      </c>
      <c r="I1412">
        <f t="shared" ca="1" si="131"/>
        <v>0.21840387115436855</v>
      </c>
    </row>
    <row r="1413" spans="1:9" x14ac:dyDescent="0.3">
      <c r="A1413" s="1">
        <v>42228</v>
      </c>
      <c r="B1413" t="s">
        <v>0</v>
      </c>
      <c r="C1413">
        <v>659.55999799999995</v>
      </c>
      <c r="D1413" s="2">
        <f t="shared" si="133"/>
        <v>-1.846349687423835E-3</v>
      </c>
      <c r="E1413" s="2">
        <f t="shared" ca="1" si="128"/>
        <v>-0.17616984879346975</v>
      </c>
      <c r="F1413">
        <f t="shared" ca="1" si="129"/>
        <v>-0.18735784246449794</v>
      </c>
      <c r="G1413" s="3">
        <f t="shared" ca="1" si="132"/>
        <v>1.9262762480408941</v>
      </c>
      <c r="H1413">
        <f t="shared" ca="1" si="130"/>
        <v>-9.7264264487011629E-2</v>
      </c>
      <c r="I1413">
        <f t="shared" ca="1" si="131"/>
        <v>3.349372674788003</v>
      </c>
    </row>
    <row r="1414" spans="1:9" x14ac:dyDescent="0.3">
      <c r="A1414" s="1">
        <v>42229</v>
      </c>
      <c r="B1414" t="s">
        <v>0</v>
      </c>
      <c r="C1414">
        <v>656.45001200000002</v>
      </c>
      <c r="D1414" s="2">
        <f t="shared" si="133"/>
        <v>-4.7152435099618271E-3</v>
      </c>
      <c r="E1414" s="2">
        <f t="shared" ref="E1414:E1477" ca="1" si="134">$N$9*D1413+$N$10*D1412+F1414</f>
        <v>-0.75077497365308354</v>
      </c>
      <c r="F1414">
        <f t="shared" ref="F1414:F1477" ca="1" si="135">G1414*H1414</f>
        <v>-0.77680356178225707</v>
      </c>
      <c r="G1414" s="3">
        <f t="shared" ca="1" si="132"/>
        <v>1.9184418680162219</v>
      </c>
      <c r="H1414">
        <f t="shared" ref="H1414:H1477" ca="1" si="136">_xlfn.NORM.S.INV(RAND())</f>
        <v>-0.40491378692934604</v>
      </c>
      <c r="I1414">
        <f t="shared" ref="I1414:I1477" ca="1" si="137">-LN(F1414^2)-(D1414^2)/(F1414^2)</f>
        <v>0.50509870801672918</v>
      </c>
    </row>
    <row r="1415" spans="1:9" x14ac:dyDescent="0.3">
      <c r="A1415" s="1">
        <v>42230</v>
      </c>
      <c r="B1415" t="s">
        <v>0</v>
      </c>
      <c r="C1415">
        <v>657.11999500000002</v>
      </c>
      <c r="D1415" s="2">
        <f t="shared" si="133"/>
        <v>1.0206154128305537E-3</v>
      </c>
      <c r="E1415" s="2">
        <f t="shared" ca="1" si="134"/>
        <v>-1.7695749305404596</v>
      </c>
      <c r="F1415">
        <f t="shared" ca="1" si="135"/>
        <v>-1.7670192920287866</v>
      </c>
      <c r="G1415" s="3">
        <f t="shared" ref="G1415:G1478" ca="1" si="138">SQRT($N$6+$N$7*(H1414^2)+$N$8*(G1414^2))</f>
        <v>1.9116674122634802</v>
      </c>
      <c r="H1415">
        <f t="shared" ca="1" si="136"/>
        <v>-0.92433405554398962</v>
      </c>
      <c r="I1415">
        <f t="shared" ca="1" si="137"/>
        <v>-1.1385885560805222</v>
      </c>
    </row>
    <row r="1416" spans="1:9" x14ac:dyDescent="0.3">
      <c r="A1416" s="1">
        <v>42233</v>
      </c>
      <c r="B1416" t="s">
        <v>0</v>
      </c>
      <c r="C1416">
        <v>660.86999500000002</v>
      </c>
      <c r="D1416" s="2">
        <f t="shared" si="133"/>
        <v>5.706720277169469E-3</v>
      </c>
      <c r="E1416" s="2">
        <f t="shared" ca="1" si="134"/>
        <v>1.2961796200588813</v>
      </c>
      <c r="F1416">
        <f t="shared" ca="1" si="135"/>
        <v>1.2988114743772339</v>
      </c>
      <c r="G1416" s="3">
        <f t="shared" ca="1" si="138"/>
        <v>1.9093240137655201</v>
      </c>
      <c r="H1416">
        <f t="shared" ca="1" si="136"/>
        <v>0.68024676011681806</v>
      </c>
      <c r="I1416">
        <f t="shared" ca="1" si="137"/>
        <v>-0.52291849710795968</v>
      </c>
    </row>
    <row r="1417" spans="1:9" x14ac:dyDescent="0.3">
      <c r="A1417" s="1">
        <v>42234</v>
      </c>
      <c r="B1417" t="s">
        <v>0</v>
      </c>
      <c r="C1417">
        <v>656.13000499999998</v>
      </c>
      <c r="D1417" s="2">
        <f t="shared" si="133"/>
        <v>-7.1723486250878047E-3</v>
      </c>
      <c r="E1417" s="2">
        <f t="shared" ca="1" si="134"/>
        <v>-0.13920113116755178</v>
      </c>
      <c r="F1417">
        <f t="shared" ca="1" si="135"/>
        <v>-0.1415382117803467</v>
      </c>
      <c r="G1417" s="3">
        <f t="shared" ca="1" si="138"/>
        <v>1.9045436840823977</v>
      </c>
      <c r="H1417">
        <f t="shared" ca="1" si="136"/>
        <v>-7.431607526951492E-2</v>
      </c>
      <c r="I1417">
        <f t="shared" ca="1" si="137"/>
        <v>3.9078032170396972</v>
      </c>
    </row>
    <row r="1418" spans="1:9" x14ac:dyDescent="0.3">
      <c r="A1418" s="1">
        <v>42235</v>
      </c>
      <c r="B1418" t="s">
        <v>0</v>
      </c>
      <c r="C1418">
        <v>660.90002400000003</v>
      </c>
      <c r="D1418" s="2">
        <f t="shared" si="133"/>
        <v>7.269929684133326E-3</v>
      </c>
      <c r="E1418" s="2">
        <f t="shared" ca="1" si="134"/>
        <v>-2.1576759054359838</v>
      </c>
      <c r="F1418">
        <f t="shared" ca="1" si="135"/>
        <v>-2.1590909148196982</v>
      </c>
      <c r="G1418" s="3">
        <f t="shared" ca="1" si="138"/>
        <v>1.896930081500557</v>
      </c>
      <c r="H1418">
        <f t="shared" ca="1" si="136"/>
        <v>-1.1382026864752759</v>
      </c>
      <c r="I1418">
        <f t="shared" ca="1" si="137"/>
        <v>-1.5393858582041373</v>
      </c>
    </row>
    <row r="1419" spans="1:9" x14ac:dyDescent="0.3">
      <c r="A1419" s="1">
        <v>42236</v>
      </c>
      <c r="B1419" t="s">
        <v>0</v>
      </c>
      <c r="C1419">
        <v>646.830017</v>
      </c>
      <c r="D1419" s="2">
        <f t="shared" si="133"/>
        <v>-2.1289160976032936E-2</v>
      </c>
      <c r="E1419" s="2">
        <f t="shared" ca="1" si="134"/>
        <v>-0.14850213370329834</v>
      </c>
      <c r="F1419">
        <f t="shared" ca="1" si="135"/>
        <v>-0.14620357768672274</v>
      </c>
      <c r="G1419" s="3">
        <f t="shared" ca="1" si="138"/>
        <v>1.89759077175029</v>
      </c>
      <c r="H1419">
        <f t="shared" ca="1" si="136"/>
        <v>-7.704694808979716E-2</v>
      </c>
      <c r="I1419">
        <f t="shared" ca="1" si="137"/>
        <v>3.8243073371201062</v>
      </c>
    </row>
    <row r="1420" spans="1:9" x14ac:dyDescent="0.3">
      <c r="A1420" s="1">
        <v>42237</v>
      </c>
      <c r="B1420" t="s">
        <v>0</v>
      </c>
      <c r="C1420">
        <v>612.47997999999995</v>
      </c>
      <c r="D1420" s="2">
        <f t="shared" si="133"/>
        <v>-5.3105199352552687E-2</v>
      </c>
      <c r="E1420" s="2">
        <f t="shared" ca="1" si="134"/>
        <v>-2.483028530855353</v>
      </c>
      <c r="F1420">
        <f t="shared" ca="1" si="135"/>
        <v>-2.4812078000007025</v>
      </c>
      <c r="G1420" s="3">
        <f t="shared" ca="1" si="138"/>
        <v>1.8900587013728569</v>
      </c>
      <c r="H1420">
        <f t="shared" ca="1" si="136"/>
        <v>-1.312767586635516</v>
      </c>
      <c r="I1420">
        <f t="shared" ca="1" si="137"/>
        <v>-1.8179490023404519</v>
      </c>
    </row>
    <row r="1421" spans="1:9" x14ac:dyDescent="0.3">
      <c r="A1421" s="1">
        <v>42240</v>
      </c>
      <c r="B1421" t="s">
        <v>0</v>
      </c>
      <c r="C1421">
        <v>589.60998500000005</v>
      </c>
      <c r="D1421" s="2">
        <f t="shared" si="133"/>
        <v>-3.7339987831112302E-2</v>
      </c>
      <c r="E1421" s="2">
        <f t="shared" ca="1" si="134"/>
        <v>-1.0548527061852551</v>
      </c>
      <c r="F1421">
        <f t="shared" ca="1" si="135"/>
        <v>-1.0257618807874733</v>
      </c>
      <c r="G1421" s="3">
        <f t="shared" ca="1" si="138"/>
        <v>1.8935445757634377</v>
      </c>
      <c r="H1421">
        <f t="shared" ca="1" si="136"/>
        <v>-0.54171520117180638</v>
      </c>
      <c r="I1421">
        <f t="shared" ca="1" si="137"/>
        <v>-5.2196389692613934E-2</v>
      </c>
    </row>
    <row r="1422" spans="1:9" x14ac:dyDescent="0.3">
      <c r="A1422" s="1">
        <v>42241</v>
      </c>
      <c r="B1422" t="s">
        <v>0</v>
      </c>
      <c r="C1422">
        <v>582.05999799999995</v>
      </c>
      <c r="D1422" s="2">
        <f t="shared" si="133"/>
        <v>-1.2805052818093134E-2</v>
      </c>
      <c r="E1422" s="2">
        <f t="shared" ca="1" si="134"/>
        <v>1.9380202151921411</v>
      </c>
      <c r="F1422">
        <f t="shared" ca="1" si="135"/>
        <v>1.9822221413824559</v>
      </c>
      <c r="G1422" s="3">
        <f t="shared" ca="1" si="138"/>
        <v>1.8878897874347371</v>
      </c>
      <c r="H1422">
        <f t="shared" ca="1" si="136"/>
        <v>1.0499670873668412</v>
      </c>
      <c r="I1422">
        <f t="shared" ca="1" si="137"/>
        <v>-1.3684787490002697</v>
      </c>
    </row>
    <row r="1423" spans="1:9" x14ac:dyDescent="0.3">
      <c r="A1423" s="1">
        <v>42242</v>
      </c>
      <c r="B1423" t="s">
        <v>0</v>
      </c>
      <c r="C1423">
        <v>628.61999500000002</v>
      </c>
      <c r="D1423" s="2">
        <f t="shared" si="133"/>
        <v>7.9991748548231392E-2</v>
      </c>
      <c r="E1423" s="2">
        <f t="shared" ca="1" si="134"/>
        <v>-0.32850780525643719</v>
      </c>
      <c r="F1423">
        <f t="shared" ca="1" si="135"/>
        <v>-0.3014382939265064</v>
      </c>
      <c r="G1423" s="3">
        <f t="shared" ca="1" si="138"/>
        <v>1.8874631032263649</v>
      </c>
      <c r="H1423">
        <f t="shared" ca="1" si="136"/>
        <v>-0.1597055292955068</v>
      </c>
      <c r="I1423">
        <f t="shared" ca="1" si="137"/>
        <v>2.3279602979045695</v>
      </c>
    </row>
    <row r="1424" spans="1:9" x14ac:dyDescent="0.3">
      <c r="A1424" s="1">
        <v>42243</v>
      </c>
      <c r="B1424" t="s">
        <v>0</v>
      </c>
      <c r="C1424">
        <v>637.60998500000005</v>
      </c>
      <c r="D1424" s="2">
        <f t="shared" si="133"/>
        <v>1.4301151842934991E-2</v>
      </c>
      <c r="E1424" s="2">
        <f t="shared" ca="1" si="134"/>
        <v>0.31096507910964427</v>
      </c>
      <c r="F1424">
        <f t="shared" ca="1" si="135"/>
        <v>0.29508796826649875</v>
      </c>
      <c r="G1424" s="3">
        <f t="shared" ca="1" si="138"/>
        <v>1.8801714120719288</v>
      </c>
      <c r="H1424">
        <f t="shared" ca="1" si="136"/>
        <v>0.15694737531474057</v>
      </c>
      <c r="I1424">
        <f t="shared" ca="1" si="137"/>
        <v>2.4386147770575475</v>
      </c>
    </row>
    <row r="1425" spans="1:9" x14ac:dyDescent="0.3">
      <c r="A1425" s="1">
        <v>42244</v>
      </c>
      <c r="B1425" t="s">
        <v>0</v>
      </c>
      <c r="C1425">
        <v>630.38000499999998</v>
      </c>
      <c r="D1425" s="2">
        <f t="shared" si="133"/>
        <v>-1.133918879893336E-2</v>
      </c>
      <c r="E1425" s="2">
        <f t="shared" ca="1" si="134"/>
        <v>-2.1236951911440762</v>
      </c>
      <c r="F1425">
        <f t="shared" ca="1" si="135"/>
        <v>-2.1777698980490197</v>
      </c>
      <c r="G1425" s="3">
        <f t="shared" ca="1" si="138"/>
        <v>1.87295784678313</v>
      </c>
      <c r="H1425">
        <f t="shared" ca="1" si="136"/>
        <v>-1.1627436793569139</v>
      </c>
      <c r="I1425">
        <f t="shared" ca="1" si="137"/>
        <v>-1.5566298519556572</v>
      </c>
    </row>
    <row r="1426" spans="1:9" x14ac:dyDescent="0.3">
      <c r="A1426" s="1">
        <v>42247</v>
      </c>
      <c r="B1426" t="s">
        <v>0</v>
      </c>
      <c r="C1426">
        <v>618.25</v>
      </c>
      <c r="D1426" s="2">
        <f t="shared" si="133"/>
        <v>-1.924236952915406E-2</v>
      </c>
      <c r="E1426" s="2">
        <f t="shared" ca="1" si="134"/>
        <v>8.6237417879561101E-2</v>
      </c>
      <c r="F1426">
        <f t="shared" ca="1" si="135"/>
        <v>8.0713092077308424E-2</v>
      </c>
      <c r="G1426" s="3">
        <f t="shared" ca="1" si="138"/>
        <v>1.8743577469604431</v>
      </c>
      <c r="H1426">
        <f t="shared" ca="1" si="136"/>
        <v>4.3061732589841514E-2</v>
      </c>
      <c r="I1426">
        <f t="shared" ca="1" si="137"/>
        <v>4.9768722346902257</v>
      </c>
    </row>
    <row r="1427" spans="1:9" x14ac:dyDescent="0.3">
      <c r="A1427" s="1">
        <v>42248</v>
      </c>
      <c r="B1427" t="s">
        <v>0</v>
      </c>
      <c r="C1427">
        <v>597.78997800000002</v>
      </c>
      <c r="D1427" s="2">
        <f t="shared" si="133"/>
        <v>-3.3093444399514726E-2</v>
      </c>
      <c r="E1427" s="2">
        <f t="shared" ca="1" si="134"/>
        <v>2.2313755724251294</v>
      </c>
      <c r="F1427">
        <f t="shared" ca="1" si="135"/>
        <v>2.2441738574330241</v>
      </c>
      <c r="G1427" s="3">
        <f t="shared" ca="1" si="138"/>
        <v>1.8670644559894602</v>
      </c>
      <c r="H1427">
        <f t="shared" ca="1" si="136"/>
        <v>1.2019798514367372</v>
      </c>
      <c r="I1427">
        <f t="shared" ca="1" si="137"/>
        <v>-1.6168923782419653</v>
      </c>
    </row>
    <row r="1428" spans="1:9" x14ac:dyDescent="0.3">
      <c r="A1428" s="1">
        <v>42249</v>
      </c>
      <c r="B1428" t="s">
        <v>0</v>
      </c>
      <c r="C1428">
        <v>614.34002699999996</v>
      </c>
      <c r="D1428" s="2">
        <f t="shared" si="133"/>
        <v>2.7685390536941964E-2</v>
      </c>
      <c r="E1428" s="2">
        <f t="shared" ca="1" si="134"/>
        <v>2.2815462599756211</v>
      </c>
      <c r="F1428">
        <f t="shared" ca="1" si="135"/>
        <v>2.3033957413665873</v>
      </c>
      <c r="G1428" s="3">
        <f t="shared" ca="1" si="138"/>
        <v>1.8691556199127004</v>
      </c>
      <c r="H1428">
        <f t="shared" ca="1" si="136"/>
        <v>1.2323188699901662</v>
      </c>
      <c r="I1428">
        <f t="shared" ca="1" si="137"/>
        <v>-1.6689133523232815</v>
      </c>
    </row>
    <row r="1429" spans="1:9" x14ac:dyDescent="0.3">
      <c r="A1429" s="1">
        <v>42250</v>
      </c>
      <c r="B1429" t="s">
        <v>0</v>
      </c>
      <c r="C1429">
        <v>606.25</v>
      </c>
      <c r="D1429" s="2">
        <f t="shared" si="133"/>
        <v>-1.3168647075636444E-2</v>
      </c>
      <c r="E1429" s="2">
        <f t="shared" ca="1" si="134"/>
        <v>-1.119335555956845</v>
      </c>
      <c r="F1429">
        <f t="shared" ca="1" si="135"/>
        <v>-1.1069832040798593</v>
      </c>
      <c r="G1429" s="3">
        <f t="shared" ca="1" si="138"/>
        <v>1.8716868281648349</v>
      </c>
      <c r="H1429">
        <f t="shared" ca="1" si="136"/>
        <v>-0.59143612458139816</v>
      </c>
      <c r="I1429">
        <f t="shared" ca="1" si="137"/>
        <v>-0.20341847656639309</v>
      </c>
    </row>
    <row r="1430" spans="1:9" x14ac:dyDescent="0.3">
      <c r="A1430" s="1">
        <v>42251</v>
      </c>
      <c r="B1430" t="s">
        <v>0</v>
      </c>
      <c r="C1430">
        <v>600.70001200000002</v>
      </c>
      <c r="D1430" s="2">
        <f t="shared" si="133"/>
        <v>-9.1546193814432738E-3</v>
      </c>
      <c r="E1430" s="2">
        <f t="shared" ca="1" si="134"/>
        <v>-1.6130561433066428</v>
      </c>
      <c r="F1430">
        <f t="shared" ca="1" si="135"/>
        <v>-1.626369309111984</v>
      </c>
      <c r="G1430" s="3">
        <f t="shared" ca="1" si="138"/>
        <v>1.866665687072794</v>
      </c>
      <c r="H1430">
        <f t="shared" ca="1" si="136"/>
        <v>-0.87126972996561047</v>
      </c>
      <c r="I1430">
        <f t="shared" ca="1" si="137"/>
        <v>-0.97273190958590539</v>
      </c>
    </row>
    <row r="1431" spans="1:9" x14ac:dyDescent="0.3">
      <c r="A1431" s="1">
        <v>42255</v>
      </c>
      <c r="B1431" t="s">
        <v>0</v>
      </c>
      <c r="C1431">
        <v>614.65997300000004</v>
      </c>
      <c r="D1431" s="2">
        <f t="shared" si="133"/>
        <v>2.3239488465334041E-2</v>
      </c>
      <c r="E1431" s="2">
        <f t="shared" ca="1" si="134"/>
        <v>2.735214988987809</v>
      </c>
      <c r="F1431">
        <f t="shared" ca="1" si="135"/>
        <v>2.7461446531561635</v>
      </c>
      <c r="G1431" s="3">
        <f t="shared" ca="1" si="138"/>
        <v>1.8643485937610351</v>
      </c>
      <c r="H1431">
        <f t="shared" ca="1" si="136"/>
        <v>1.472978102027712</v>
      </c>
      <c r="I1431">
        <f t="shared" ca="1" si="137"/>
        <v>-2.0204675828378638</v>
      </c>
    </row>
    <row r="1432" spans="1:9" x14ac:dyDescent="0.3">
      <c r="A1432" s="1">
        <v>42256</v>
      </c>
      <c r="B1432" t="s">
        <v>0</v>
      </c>
      <c r="C1432">
        <v>612.71997099999999</v>
      </c>
      <c r="D1432" s="2">
        <f t="shared" si="133"/>
        <v>-3.156219837337691E-3</v>
      </c>
      <c r="E1432" s="2">
        <f t="shared" ca="1" si="134"/>
        <v>1.2158331704014078</v>
      </c>
      <c r="F1432">
        <f t="shared" ca="1" si="135"/>
        <v>1.2146045093424012</v>
      </c>
      <c r="G1432" s="3">
        <f t="shared" ca="1" si="138"/>
        <v>1.8711462709456983</v>
      </c>
      <c r="H1432">
        <f t="shared" ca="1" si="136"/>
        <v>0.64912322900792063</v>
      </c>
      <c r="I1432">
        <f t="shared" ca="1" si="137"/>
        <v>-0.38884378668110936</v>
      </c>
    </row>
    <row r="1433" spans="1:9" x14ac:dyDescent="0.3">
      <c r="A1433" s="1">
        <v>42257</v>
      </c>
      <c r="B1433" t="s">
        <v>0</v>
      </c>
      <c r="C1433">
        <v>621.34997599999997</v>
      </c>
      <c r="D1433" s="2">
        <f t="shared" si="133"/>
        <v>1.4084745737788238E-2</v>
      </c>
      <c r="E1433" s="2">
        <f t="shared" ca="1" si="134"/>
        <v>-0.10581847921605603</v>
      </c>
      <c r="F1433">
        <f t="shared" ca="1" si="135"/>
        <v>-0.11934855626163229</v>
      </c>
      <c r="G1433" s="3">
        <f t="shared" ca="1" si="138"/>
        <v>1.8665928050674618</v>
      </c>
      <c r="H1433">
        <f t="shared" ca="1" si="136"/>
        <v>-6.3939256562878924E-2</v>
      </c>
      <c r="I1433">
        <f t="shared" ca="1" si="137"/>
        <v>4.2374868500347995</v>
      </c>
    </row>
    <row r="1434" spans="1:9" x14ac:dyDescent="0.3">
      <c r="A1434" s="1">
        <v>42258</v>
      </c>
      <c r="B1434" t="s">
        <v>0</v>
      </c>
      <c r="C1434">
        <v>625.77002000000005</v>
      </c>
      <c r="D1434" s="2">
        <f t="shared" si="133"/>
        <v>7.1136141799739531E-3</v>
      </c>
      <c r="E1434" s="2">
        <f t="shared" ca="1" si="134"/>
        <v>-3.4183980748084273</v>
      </c>
      <c r="F1434">
        <f t="shared" ca="1" si="135"/>
        <v>-3.4206322915565388</v>
      </c>
      <c r="G1434" s="3">
        <f t="shared" ca="1" si="138"/>
        <v>1.8594029106254388</v>
      </c>
      <c r="H1434">
        <f t="shared" ca="1" si="136"/>
        <v>-1.8396401726648672</v>
      </c>
      <c r="I1434">
        <f t="shared" ca="1" si="137"/>
        <v>-2.4596551539345395</v>
      </c>
    </row>
    <row r="1435" spans="1:9" x14ac:dyDescent="0.3">
      <c r="A1435" s="1">
        <v>42261</v>
      </c>
      <c r="B1435" t="s">
        <v>0</v>
      </c>
      <c r="C1435">
        <v>623.23999000000003</v>
      </c>
      <c r="D1435" s="2">
        <f t="shared" si="133"/>
        <v>-4.0430668123091137E-3</v>
      </c>
      <c r="E1435" s="2">
        <f t="shared" ca="1" si="134"/>
        <v>-1.6345694573984133</v>
      </c>
      <c r="F1435">
        <f t="shared" ca="1" si="135"/>
        <v>-1.6454610159633878</v>
      </c>
      <c r="G1435" s="3">
        <f t="shared" ca="1" si="138"/>
        <v>1.8740995609635249</v>
      </c>
      <c r="H1435">
        <f t="shared" ca="1" si="136"/>
        <v>-0.87800085451031862</v>
      </c>
      <c r="I1435">
        <f t="shared" ca="1" si="137"/>
        <v>-0.99604723299223441</v>
      </c>
    </row>
    <row r="1436" spans="1:9" x14ac:dyDescent="0.3">
      <c r="A1436" s="1">
        <v>42262</v>
      </c>
      <c r="B1436" t="s">
        <v>0</v>
      </c>
      <c r="C1436">
        <v>635.14001499999995</v>
      </c>
      <c r="D1436" s="2">
        <f t="shared" si="133"/>
        <v>1.9093808470152747E-2</v>
      </c>
      <c r="E1436" s="2">
        <f t="shared" ca="1" si="134"/>
        <v>0.10950226582792186</v>
      </c>
      <c r="F1436">
        <f t="shared" ca="1" si="135"/>
        <v>0.1062781445665584</v>
      </c>
      <c r="G1436" s="3">
        <f t="shared" ca="1" si="138"/>
        <v>1.8717537148409831</v>
      </c>
      <c r="H1436">
        <f t="shared" ca="1" si="136"/>
        <v>5.6779983244530319E-2</v>
      </c>
      <c r="I1436">
        <f t="shared" ca="1" si="137"/>
        <v>4.4511139326288438</v>
      </c>
    </row>
    <row r="1437" spans="1:9" x14ac:dyDescent="0.3">
      <c r="A1437" s="1">
        <v>42263</v>
      </c>
      <c r="B1437" t="s">
        <v>0</v>
      </c>
      <c r="C1437">
        <v>635.97997999999995</v>
      </c>
      <c r="D1437" s="2">
        <f t="shared" si="133"/>
        <v>1.3224879241784295E-3</v>
      </c>
      <c r="E1437" s="2">
        <f t="shared" ca="1" si="134"/>
        <v>-0.51793712672777759</v>
      </c>
      <c r="F1437">
        <f t="shared" ca="1" si="135"/>
        <v>-0.52111263618958359</v>
      </c>
      <c r="G1437" s="3">
        <f t="shared" ca="1" si="138"/>
        <v>1.864499058135513</v>
      </c>
      <c r="H1437">
        <f t="shared" ca="1" si="136"/>
        <v>-0.27949203509423753</v>
      </c>
      <c r="I1437">
        <f t="shared" ca="1" si="137"/>
        <v>1.3035716960755408</v>
      </c>
    </row>
    <row r="1438" spans="1:9" x14ac:dyDescent="0.3">
      <c r="A1438" s="1">
        <v>42264</v>
      </c>
      <c r="B1438" t="s">
        <v>0</v>
      </c>
      <c r="C1438">
        <v>642.90002400000003</v>
      </c>
      <c r="D1438" s="2">
        <f t="shared" si="133"/>
        <v>1.0880914836344496E-2</v>
      </c>
      <c r="E1438" s="2">
        <f t="shared" ca="1" si="134"/>
        <v>-1.3551777652894077</v>
      </c>
      <c r="F1438">
        <f t="shared" ca="1" si="135"/>
        <v>-1.3674617369650632</v>
      </c>
      <c r="G1438" s="3">
        <f t="shared" ca="1" si="138"/>
        <v>1.8578121687689502</v>
      </c>
      <c r="H1438">
        <f t="shared" ca="1" si="136"/>
        <v>-0.73606027560428244</v>
      </c>
      <c r="I1438">
        <f t="shared" ca="1" si="137"/>
        <v>-0.62597586338475475</v>
      </c>
    </row>
    <row r="1439" spans="1:9" x14ac:dyDescent="0.3">
      <c r="A1439" s="1">
        <v>42265</v>
      </c>
      <c r="B1439" t="s">
        <v>0</v>
      </c>
      <c r="C1439">
        <v>629.25</v>
      </c>
      <c r="D1439" s="2">
        <f t="shared" si="133"/>
        <v>-2.1231954410379724E-2</v>
      </c>
      <c r="E1439" s="2">
        <f t="shared" ca="1" si="134"/>
        <v>4.0136257630310945</v>
      </c>
      <c r="F1439">
        <f t="shared" ca="1" si="135"/>
        <v>4.0095579414020772</v>
      </c>
      <c r="G1439" s="3">
        <f t="shared" ca="1" si="138"/>
        <v>1.8542117311986872</v>
      </c>
      <c r="H1439">
        <f t="shared" ca="1" si="136"/>
        <v>2.1624056594712782</v>
      </c>
      <c r="I1439">
        <f t="shared" ca="1" si="137"/>
        <v>-2.7773900329575154</v>
      </c>
    </row>
    <row r="1440" spans="1:9" x14ac:dyDescent="0.3">
      <c r="A1440" s="1">
        <v>42268</v>
      </c>
      <c r="B1440" t="s">
        <v>0</v>
      </c>
      <c r="C1440">
        <v>635.44000200000005</v>
      </c>
      <c r="D1440" s="2">
        <f t="shared" si="133"/>
        <v>9.8371108462456096E-3</v>
      </c>
      <c r="E1440" s="2">
        <f t="shared" ca="1" si="134"/>
        <v>0.27421228307880696</v>
      </c>
      <c r="F1440">
        <f t="shared" ca="1" si="135"/>
        <v>0.27376740838283803</v>
      </c>
      <c r="G1440" s="3">
        <f t="shared" ca="1" si="138"/>
        <v>1.8773159319250809</v>
      </c>
      <c r="H1440">
        <f t="shared" ca="1" si="136"/>
        <v>0.1458291615850216</v>
      </c>
      <c r="I1440">
        <f t="shared" ca="1" si="137"/>
        <v>2.5896616802541921</v>
      </c>
    </row>
    <row r="1441" spans="1:9" x14ac:dyDescent="0.3">
      <c r="A1441" s="1">
        <v>42269</v>
      </c>
      <c r="B1441" t="s">
        <v>0</v>
      </c>
      <c r="C1441">
        <v>622.69000200000005</v>
      </c>
      <c r="D1441" s="2">
        <f t="shared" si="133"/>
        <v>-2.0064836900211391E-2</v>
      </c>
      <c r="E1441" s="2">
        <f t="shared" ca="1" si="134"/>
        <v>3.16096602462492</v>
      </c>
      <c r="F1441">
        <f t="shared" ca="1" si="135"/>
        <v>3.1712540060329317</v>
      </c>
      <c r="G1441" s="3">
        <f t="shared" ca="1" si="138"/>
        <v>1.8701135719023725</v>
      </c>
      <c r="H1441">
        <f t="shared" ca="1" si="136"/>
        <v>1.6957547678812761</v>
      </c>
      <c r="I1441">
        <f t="shared" ca="1" si="137"/>
        <v>-2.3082942225076102</v>
      </c>
    </row>
    <row r="1442" spans="1:9" x14ac:dyDescent="0.3">
      <c r="A1442" s="1">
        <v>42270</v>
      </c>
      <c r="B1442" t="s">
        <v>0</v>
      </c>
      <c r="C1442">
        <v>622.35998500000005</v>
      </c>
      <c r="D1442" s="2">
        <f t="shared" si="133"/>
        <v>-5.2998602665857159E-4</v>
      </c>
      <c r="E1442" s="2">
        <f t="shared" ca="1" si="134"/>
        <v>2.1536456357586582</v>
      </c>
      <c r="F1442">
        <f t="shared" ca="1" si="135"/>
        <v>2.1535027402537783</v>
      </c>
      <c r="G1442" s="3">
        <f t="shared" ca="1" si="138"/>
        <v>1.881317786255678</v>
      </c>
      <c r="H1442">
        <f t="shared" ca="1" si="136"/>
        <v>1.1446778189132101</v>
      </c>
      <c r="I1442">
        <f t="shared" ca="1" si="137"/>
        <v>-1.5341914565200772</v>
      </c>
    </row>
    <row r="1443" spans="1:9" x14ac:dyDescent="0.3">
      <c r="A1443" s="1">
        <v>42271</v>
      </c>
      <c r="B1443" t="s">
        <v>0</v>
      </c>
      <c r="C1443">
        <v>625.79998799999998</v>
      </c>
      <c r="D1443" s="2">
        <f t="shared" si="133"/>
        <v>5.5273524694874673E-3</v>
      </c>
      <c r="E1443" s="2">
        <f t="shared" ca="1" si="134"/>
        <v>-1.2032692144711281</v>
      </c>
      <c r="F1443">
        <f t="shared" ca="1" si="135"/>
        <v>-1.1906168832761088</v>
      </c>
      <c r="G1443" s="3">
        <f t="shared" ca="1" si="138"/>
        <v>1.882317901429361</v>
      </c>
      <c r="H1443">
        <f t="shared" ca="1" si="136"/>
        <v>-0.63252699364544074</v>
      </c>
      <c r="I1443">
        <f t="shared" ca="1" si="137"/>
        <v>-0.34896467635992484</v>
      </c>
    </row>
    <row r="1444" spans="1:9" x14ac:dyDescent="0.3">
      <c r="A1444" s="1">
        <v>42272</v>
      </c>
      <c r="B1444" t="s">
        <v>0</v>
      </c>
      <c r="C1444">
        <v>611.96997099999999</v>
      </c>
      <c r="D1444" s="2">
        <f t="shared" si="133"/>
        <v>-2.2099739957169826E-2</v>
      </c>
      <c r="E1444" s="2">
        <f t="shared" ca="1" si="134"/>
        <v>3.0889161465615063</v>
      </c>
      <c r="F1444">
        <f t="shared" ca="1" si="135"/>
        <v>3.0875981016259484</v>
      </c>
      <c r="G1444" s="3">
        <f t="shared" ca="1" si="138"/>
        <v>1.8774846742206415</v>
      </c>
      <c r="H1444">
        <f t="shared" ca="1" si="136"/>
        <v>1.6445397099753341</v>
      </c>
      <c r="I1444">
        <f t="shared" ca="1" si="137"/>
        <v>-2.254838181506261</v>
      </c>
    </row>
    <row r="1445" spans="1:9" x14ac:dyDescent="0.3">
      <c r="A1445" s="1">
        <v>42275</v>
      </c>
      <c r="B1445" t="s">
        <v>0</v>
      </c>
      <c r="C1445">
        <v>594.89001499999995</v>
      </c>
      <c r="D1445" s="2">
        <f t="shared" si="133"/>
        <v>-2.7909794286295198E-2</v>
      </c>
      <c r="E1445" s="2">
        <f t="shared" ca="1" si="134"/>
        <v>2.0473819505194881</v>
      </c>
      <c r="F1445">
        <f t="shared" ca="1" si="135"/>
        <v>2.0505294650902259</v>
      </c>
      <c r="G1445" s="3">
        <f t="shared" ca="1" si="138"/>
        <v>1.8874443406118639</v>
      </c>
      <c r="H1445">
        <f t="shared" ca="1" si="136"/>
        <v>1.0864052629098953</v>
      </c>
      <c r="I1445">
        <f t="shared" ca="1" si="137"/>
        <v>-1.4363813307353224</v>
      </c>
    </row>
    <row r="1446" spans="1:9" x14ac:dyDescent="0.3">
      <c r="A1446" s="1">
        <v>42276</v>
      </c>
      <c r="B1446" t="s">
        <v>0</v>
      </c>
      <c r="C1446">
        <v>594.96997099999999</v>
      </c>
      <c r="D1446" s="2">
        <f t="shared" si="133"/>
        <v>1.3440467646786496E-4</v>
      </c>
      <c r="E1446" s="2">
        <f t="shared" ca="1" si="134"/>
        <v>-1.4133758156198899</v>
      </c>
      <c r="F1446">
        <f t="shared" ca="1" si="135"/>
        <v>-1.3912926444189724</v>
      </c>
      <c r="G1446" s="3">
        <f t="shared" ca="1" si="138"/>
        <v>1.8875201046869992</v>
      </c>
      <c r="H1446">
        <f t="shared" ca="1" si="136"/>
        <v>-0.73710083456286446</v>
      </c>
      <c r="I1446">
        <f t="shared" ca="1" si="137"/>
        <v>-0.66046655935503373</v>
      </c>
    </row>
    <row r="1447" spans="1:9" x14ac:dyDescent="0.3">
      <c r="A1447" s="1">
        <v>42277</v>
      </c>
      <c r="B1447" t="s">
        <v>0</v>
      </c>
      <c r="C1447">
        <v>608.419983</v>
      </c>
      <c r="D1447" s="2">
        <f t="shared" si="133"/>
        <v>2.2606203095248342E-2</v>
      </c>
      <c r="E1447" s="2">
        <f t="shared" ca="1" si="134"/>
        <v>-1.9253979207411034</v>
      </c>
      <c r="F1447">
        <f t="shared" ca="1" si="135"/>
        <v>-1.9080586588347799</v>
      </c>
      <c r="G1447" s="3">
        <f t="shared" ca="1" si="138"/>
        <v>1.8835347434449647</v>
      </c>
      <c r="H1447">
        <f t="shared" ca="1" si="136"/>
        <v>-1.0130201555745986</v>
      </c>
      <c r="I1447">
        <f t="shared" ca="1" si="137"/>
        <v>-1.2923130015492073</v>
      </c>
    </row>
    <row r="1448" spans="1:9" x14ac:dyDescent="0.3">
      <c r="A1448" s="1">
        <v>42278</v>
      </c>
      <c r="B1448" t="s">
        <v>0</v>
      </c>
      <c r="C1448">
        <v>611.28997800000002</v>
      </c>
      <c r="D1448" s="2">
        <f t="shared" si="133"/>
        <v>4.7171281026120032E-3</v>
      </c>
      <c r="E1448" s="2">
        <f t="shared" ca="1" si="134"/>
        <v>-2.4824151682267805</v>
      </c>
      <c r="F1448">
        <f t="shared" ca="1" si="135"/>
        <v>-2.489239250080244</v>
      </c>
      <c r="G1448" s="3">
        <f t="shared" ca="1" si="138"/>
        <v>1.8826872286736631</v>
      </c>
      <c r="H1448">
        <f t="shared" ca="1" si="136"/>
        <v>-1.3221735464970947</v>
      </c>
      <c r="I1448">
        <f t="shared" ca="1" si="137"/>
        <v>-1.8239578745332656</v>
      </c>
    </row>
    <row r="1449" spans="1:9" x14ac:dyDescent="0.3">
      <c r="A1449" s="1">
        <v>42279</v>
      </c>
      <c r="B1449" t="s">
        <v>0</v>
      </c>
      <c r="C1449">
        <v>626.90997300000004</v>
      </c>
      <c r="D1449" s="2">
        <f t="shared" si="133"/>
        <v>2.5552512820682979E-2</v>
      </c>
      <c r="E1449" s="2">
        <f t="shared" ca="1" si="134"/>
        <v>-8.6671068651397898E-2</v>
      </c>
      <c r="F1449">
        <f t="shared" ca="1" si="135"/>
        <v>-0.10215436124550496</v>
      </c>
      <c r="G1449" s="3">
        <f t="shared" ca="1" si="138"/>
        <v>1.8864573292790714</v>
      </c>
      <c r="H1449">
        <f t="shared" ca="1" si="136"/>
        <v>-5.4151429592390665E-2</v>
      </c>
      <c r="I1449">
        <f t="shared" ca="1" si="137"/>
        <v>4.4999723651709767</v>
      </c>
    </row>
    <row r="1450" spans="1:9" x14ac:dyDescent="0.3">
      <c r="A1450" s="1">
        <v>42282</v>
      </c>
      <c r="B1450" t="s">
        <v>0</v>
      </c>
      <c r="C1450">
        <v>641.46997099999999</v>
      </c>
      <c r="D1450" s="2">
        <f t="shared" si="133"/>
        <v>2.3225022135674254E-2</v>
      </c>
      <c r="E1450" s="2">
        <f t="shared" ca="1" si="134"/>
        <v>2.8609173750008998</v>
      </c>
      <c r="F1450">
        <f t="shared" ca="1" si="135"/>
        <v>2.8503611586661406</v>
      </c>
      <c r="G1450" s="3">
        <f t="shared" ca="1" si="138"/>
        <v>1.8790327971084488</v>
      </c>
      <c r="H1450">
        <f t="shared" ca="1" si="136"/>
        <v>1.5169299668704139</v>
      </c>
      <c r="I1450">
        <f t="shared" ca="1" si="137"/>
        <v>-2.0949578086833891</v>
      </c>
    </row>
    <row r="1451" spans="1:9" x14ac:dyDescent="0.3">
      <c r="A1451" s="1">
        <v>42283</v>
      </c>
      <c r="B1451" t="s">
        <v>0</v>
      </c>
      <c r="C1451">
        <v>645.44000200000005</v>
      </c>
      <c r="D1451" s="2">
        <f t="shared" si="133"/>
        <v>6.1889584539882737E-3</v>
      </c>
      <c r="E1451" s="2">
        <f t="shared" ca="1" si="134"/>
        <v>-2.9294665401734399</v>
      </c>
      <c r="F1451">
        <f t="shared" ca="1" si="135"/>
        <v>-2.952302904482206</v>
      </c>
      <c r="G1451" s="3">
        <f t="shared" ca="1" si="138"/>
        <v>1.8863921619644055</v>
      </c>
      <c r="H1451">
        <f t="shared" ca="1" si="136"/>
        <v>-1.5650525717875163</v>
      </c>
      <c r="I1451">
        <f t="shared" ca="1" si="137"/>
        <v>-2.165175417326108</v>
      </c>
    </row>
    <row r="1452" spans="1:9" x14ac:dyDescent="0.3">
      <c r="A1452" s="1">
        <v>42284</v>
      </c>
      <c r="B1452" t="s">
        <v>0</v>
      </c>
      <c r="C1452">
        <v>642.35998500000005</v>
      </c>
      <c r="D1452" s="2">
        <f t="shared" si="133"/>
        <v>-4.7719648463932637E-3</v>
      </c>
      <c r="E1452" s="2">
        <f t="shared" ca="1" si="134"/>
        <v>3.4072906059444885</v>
      </c>
      <c r="F1452">
        <f t="shared" ca="1" si="135"/>
        <v>3.3909831278322802</v>
      </c>
      <c r="G1452" s="3">
        <f t="shared" ca="1" si="138"/>
        <v>1.8945521674033403</v>
      </c>
      <c r="H1452">
        <f t="shared" ca="1" si="136"/>
        <v>1.7898599923378924</v>
      </c>
      <c r="I1452">
        <f t="shared" ca="1" si="137"/>
        <v>-2.4422417554721871</v>
      </c>
    </row>
    <row r="1453" spans="1:9" x14ac:dyDescent="0.3">
      <c r="A1453" s="1">
        <v>42285</v>
      </c>
      <c r="B1453" t="s">
        <v>0</v>
      </c>
      <c r="C1453">
        <v>639.15997300000004</v>
      </c>
      <c r="D1453" s="2">
        <f t="shared" si="133"/>
        <v>-4.9816490359374035E-3</v>
      </c>
      <c r="E1453" s="2">
        <f t="shared" ca="1" si="134"/>
        <v>2.2503845088629877</v>
      </c>
      <c r="F1453">
        <f t="shared" ca="1" si="135"/>
        <v>2.2479534998721715</v>
      </c>
      <c r="G1453" s="3">
        <f t="shared" ca="1" si="138"/>
        <v>1.9073116695091872</v>
      </c>
      <c r="H1453">
        <f t="shared" ca="1" si="136"/>
        <v>1.1785978850801255</v>
      </c>
      <c r="I1453">
        <f t="shared" ca="1" si="137"/>
        <v>-1.6200454044334556</v>
      </c>
    </row>
    <row r="1454" spans="1:9" x14ac:dyDescent="0.3">
      <c r="A1454" s="1">
        <v>42286</v>
      </c>
      <c r="B1454" t="s">
        <v>0</v>
      </c>
      <c r="C1454">
        <v>643.60998500000005</v>
      </c>
      <c r="D1454" s="2">
        <f t="shared" si="133"/>
        <v>6.9622820388973499E-3</v>
      </c>
      <c r="E1454" s="2">
        <f t="shared" ca="1" si="134"/>
        <v>2.4191541453203027</v>
      </c>
      <c r="F1454">
        <f t="shared" ca="1" si="135"/>
        <v>2.4236109876512617</v>
      </c>
      <c r="G1454" s="3">
        <f t="shared" ca="1" si="138"/>
        <v>1.9084000178747773</v>
      </c>
      <c r="H1454">
        <f t="shared" ca="1" si="136"/>
        <v>1.2699701136820523</v>
      </c>
      <c r="I1454">
        <f t="shared" ca="1" si="137"/>
        <v>-1.770525395717387</v>
      </c>
    </row>
    <row r="1455" spans="1:9" x14ac:dyDescent="0.3">
      <c r="A1455" s="1">
        <v>42289</v>
      </c>
      <c r="B1455" t="s">
        <v>0</v>
      </c>
      <c r="C1455">
        <v>646.669983</v>
      </c>
      <c r="D1455" s="2">
        <f t="shared" si="133"/>
        <v>4.754429035155429E-3</v>
      </c>
      <c r="E1455" s="2">
        <f t="shared" ca="1" si="134"/>
        <v>-3.1626910976197355</v>
      </c>
      <c r="F1455">
        <f t="shared" ca="1" si="135"/>
        <v>-3.1616649531073238</v>
      </c>
      <c r="G1455" s="3">
        <f t="shared" ca="1" si="138"/>
        <v>1.9108788074855909</v>
      </c>
      <c r="H1455">
        <f t="shared" ca="1" si="136"/>
        <v>-1.6545606873245751</v>
      </c>
      <c r="I1455">
        <f t="shared" ca="1" si="137"/>
        <v>-2.3021998068136713</v>
      </c>
    </row>
    <row r="1456" spans="1:9" x14ac:dyDescent="0.3">
      <c r="A1456" s="1">
        <v>42290</v>
      </c>
      <c r="B1456" t="s">
        <v>0</v>
      </c>
      <c r="C1456">
        <v>652.29998799999998</v>
      </c>
      <c r="D1456" s="2">
        <f t="shared" si="133"/>
        <v>8.7061486507871242E-3</v>
      </c>
      <c r="E1456" s="2">
        <f t="shared" ca="1" si="134"/>
        <v>-3.0511789767603887</v>
      </c>
      <c r="F1456">
        <f t="shared" ca="1" si="135"/>
        <v>-3.0569319732224249</v>
      </c>
      <c r="G1456" s="3">
        <f t="shared" ca="1" si="138"/>
        <v>1.9203687015163888</v>
      </c>
      <c r="H1456">
        <f t="shared" ca="1" si="136"/>
        <v>-1.5918463838785577</v>
      </c>
      <c r="I1456">
        <f t="shared" ca="1" si="137"/>
        <v>-2.2348316908590613</v>
      </c>
    </row>
    <row r="1457" spans="1:9" x14ac:dyDescent="0.3">
      <c r="A1457" s="1">
        <v>42291</v>
      </c>
      <c r="B1457" t="s">
        <v>0</v>
      </c>
      <c r="C1457">
        <v>651.15997300000004</v>
      </c>
      <c r="D1457" s="2">
        <f t="shared" si="133"/>
        <v>-1.7476851463623644E-3</v>
      </c>
      <c r="E1457" s="2">
        <f t="shared" ca="1" si="134"/>
        <v>0.74687500624271852</v>
      </c>
      <c r="F1457">
        <f t="shared" ca="1" si="135"/>
        <v>0.74131856633498394</v>
      </c>
      <c r="G1457" s="3">
        <f t="shared" ca="1" si="138"/>
        <v>1.9283994406680935</v>
      </c>
      <c r="H1457">
        <f t="shared" ca="1" si="136"/>
        <v>0.38442168707441354</v>
      </c>
      <c r="I1457">
        <f t="shared" ca="1" si="137"/>
        <v>0.5986441060050619</v>
      </c>
    </row>
    <row r="1458" spans="1:9" x14ac:dyDescent="0.3">
      <c r="A1458" s="1">
        <v>42292</v>
      </c>
      <c r="B1458" t="s">
        <v>0</v>
      </c>
      <c r="C1458">
        <v>661.73999000000003</v>
      </c>
      <c r="D1458" s="2">
        <f t="shared" si="133"/>
        <v>1.6247953557796461E-2</v>
      </c>
      <c r="E1458" s="2">
        <f t="shared" ca="1" si="134"/>
        <v>-1.5758511516224305</v>
      </c>
      <c r="F1458">
        <f t="shared" ca="1" si="135"/>
        <v>-1.5807513423254407</v>
      </c>
      <c r="G1458" s="3">
        <f t="shared" ca="1" si="138"/>
        <v>1.9214065452426285</v>
      </c>
      <c r="H1458">
        <f t="shared" ca="1" si="136"/>
        <v>-0.82270529692914562</v>
      </c>
      <c r="I1458">
        <f t="shared" ca="1" si="137"/>
        <v>-0.91590618442710281</v>
      </c>
    </row>
    <row r="1459" spans="1:9" x14ac:dyDescent="0.3">
      <c r="A1459" s="1">
        <v>42293</v>
      </c>
      <c r="B1459" t="s">
        <v>0</v>
      </c>
      <c r="C1459">
        <v>662.20001200000002</v>
      </c>
      <c r="D1459" s="2">
        <f t="shared" si="133"/>
        <v>6.9517031908556835E-4</v>
      </c>
      <c r="E1459" s="2">
        <f t="shared" ca="1" si="134"/>
        <v>-1.0458368524404111</v>
      </c>
      <c r="F1459">
        <f t="shared" ca="1" si="135"/>
        <v>-1.0495931529018798</v>
      </c>
      <c r="G1459" s="3">
        <f t="shared" ca="1" si="138"/>
        <v>1.9178140016513434</v>
      </c>
      <c r="H1459">
        <f t="shared" ca="1" si="136"/>
        <v>-0.54728620815059348</v>
      </c>
      <c r="I1459">
        <f t="shared" ca="1" si="137"/>
        <v>-9.6805669983407297E-2</v>
      </c>
    </row>
    <row r="1460" spans="1:9" x14ac:dyDescent="0.3">
      <c r="A1460" s="1">
        <v>42296</v>
      </c>
      <c r="B1460" t="s">
        <v>0</v>
      </c>
      <c r="C1460">
        <v>666.09997599999997</v>
      </c>
      <c r="D1460" s="2">
        <f t="shared" si="133"/>
        <v>5.8894049068666495E-3</v>
      </c>
      <c r="E1460" s="2">
        <f t="shared" ca="1" si="134"/>
        <v>-0.56758555287908385</v>
      </c>
      <c r="F1460">
        <f t="shared" ca="1" si="135"/>
        <v>-0.57791037566855474</v>
      </c>
      <c r="G1460" s="3">
        <f t="shared" ca="1" si="138"/>
        <v>1.9118993437683378</v>
      </c>
      <c r="H1460">
        <f t="shared" ca="1" si="136"/>
        <v>-0.30227029343997691</v>
      </c>
      <c r="I1460">
        <f t="shared" ca="1" si="137"/>
        <v>1.0965691097903392</v>
      </c>
    </row>
    <row r="1461" spans="1:9" x14ac:dyDescent="0.3">
      <c r="A1461" s="1">
        <v>42297</v>
      </c>
      <c r="B1461" t="s">
        <v>0</v>
      </c>
      <c r="C1461">
        <v>650.28002900000001</v>
      </c>
      <c r="D1461" s="2">
        <f t="shared" si="133"/>
        <v>-2.3750108947609327E-2</v>
      </c>
      <c r="E1461" s="2">
        <f t="shared" ca="1" si="134"/>
        <v>-0.17457936135425192</v>
      </c>
      <c r="F1461">
        <f t="shared" ca="1" si="135"/>
        <v>-0.17676825862498238</v>
      </c>
      <c r="G1461" s="3">
        <f t="shared" ca="1" si="138"/>
        <v>1.9047442065823146</v>
      </c>
      <c r="H1461">
        <f t="shared" ca="1" si="136"/>
        <v>-9.2804198072431954E-2</v>
      </c>
      <c r="I1461">
        <f t="shared" ca="1" si="137"/>
        <v>3.4477794665080888</v>
      </c>
    </row>
    <row r="1462" spans="1:9" x14ac:dyDescent="0.3">
      <c r="A1462" s="1">
        <v>42298</v>
      </c>
      <c r="B1462" t="s">
        <v>0</v>
      </c>
      <c r="C1462">
        <v>642.60998500000005</v>
      </c>
      <c r="D1462" s="2">
        <f t="shared" si="133"/>
        <v>-1.1794986248916405E-2</v>
      </c>
      <c r="E1462" s="2">
        <f t="shared" ca="1" si="134"/>
        <v>-0.49921461036691023</v>
      </c>
      <c r="F1462">
        <f t="shared" ca="1" si="135"/>
        <v>-0.49580046165620723</v>
      </c>
      <c r="G1462" s="3">
        <f t="shared" ca="1" si="138"/>
        <v>1.8971479049711009</v>
      </c>
      <c r="H1462">
        <f t="shared" ca="1" si="136"/>
        <v>-0.26133990942775742</v>
      </c>
      <c r="I1462">
        <f t="shared" ca="1" si="137"/>
        <v>1.4025975026378621</v>
      </c>
    </row>
    <row r="1463" spans="1:9" x14ac:dyDescent="0.3">
      <c r="A1463" s="1">
        <v>42299</v>
      </c>
      <c r="B1463" t="s">
        <v>0</v>
      </c>
      <c r="C1463">
        <v>651.78997800000002</v>
      </c>
      <c r="D1463" s="2">
        <f t="shared" si="133"/>
        <v>1.4285481418406481E-2</v>
      </c>
      <c r="E1463" s="2">
        <f t="shared" ca="1" si="134"/>
        <v>2.033025953316264</v>
      </c>
      <c r="F1463">
        <f t="shared" ca="1" si="135"/>
        <v>2.0513319249995394</v>
      </c>
      <c r="G1463" s="3">
        <f t="shared" ca="1" si="138"/>
        <v>1.8900174687655893</v>
      </c>
      <c r="H1463">
        <f t="shared" ca="1" si="136"/>
        <v>1.08535077527051</v>
      </c>
      <c r="I1463">
        <f t="shared" ca="1" si="137"/>
        <v>-1.4370271007078976</v>
      </c>
    </row>
    <row r="1464" spans="1:9" x14ac:dyDescent="0.3">
      <c r="A1464" s="1">
        <v>42300</v>
      </c>
      <c r="B1464" t="s">
        <v>0</v>
      </c>
      <c r="C1464">
        <v>702</v>
      </c>
      <c r="D1464" s="2">
        <f t="shared" si="133"/>
        <v>7.7034050376270105E-2</v>
      </c>
      <c r="E1464" s="2">
        <f t="shared" ca="1" si="134"/>
        <v>-0.4130314362428007</v>
      </c>
      <c r="F1464">
        <f t="shared" ca="1" si="135"/>
        <v>-0.40994617411676476</v>
      </c>
      <c r="G1464" s="3">
        <f t="shared" ca="1" si="138"/>
        <v>1.8900392592116604</v>
      </c>
      <c r="H1464">
        <f t="shared" ca="1" si="136"/>
        <v>-0.21689823220272908</v>
      </c>
      <c r="I1464">
        <f t="shared" ca="1" si="137"/>
        <v>1.7481476768231876</v>
      </c>
    </row>
    <row r="1465" spans="1:9" x14ac:dyDescent="0.3">
      <c r="A1465" s="1">
        <v>42303</v>
      </c>
      <c r="B1465" t="s">
        <v>0</v>
      </c>
      <c r="C1465">
        <v>712.78002900000001</v>
      </c>
      <c r="D1465" s="2">
        <f t="shared" si="133"/>
        <v>1.5356166666666685E-2</v>
      </c>
      <c r="E1465" s="2">
        <f t="shared" ca="1" si="134"/>
        <v>-3.1946380740630085</v>
      </c>
      <c r="F1465">
        <f t="shared" ca="1" si="135"/>
        <v>-3.2265024877359902</v>
      </c>
      <c r="G1465" s="3">
        <f t="shared" ca="1" si="138"/>
        <v>1.8828555287970146</v>
      </c>
      <c r="H1465">
        <f t="shared" ca="1" si="136"/>
        <v>-1.7136219101193879</v>
      </c>
      <c r="I1465">
        <f t="shared" ca="1" si="137"/>
        <v>-2.3428201105946846</v>
      </c>
    </row>
    <row r="1466" spans="1:9" x14ac:dyDescent="0.3">
      <c r="A1466" s="1">
        <v>42304</v>
      </c>
      <c r="B1466" t="s">
        <v>0</v>
      </c>
      <c r="C1466">
        <v>708.48999000000003</v>
      </c>
      <c r="D1466" s="2">
        <f t="shared" si="133"/>
        <v>-6.0187418634872819E-3</v>
      </c>
      <c r="E1466" s="2">
        <f t="shared" ca="1" si="134"/>
        <v>2.5945208567200058</v>
      </c>
      <c r="F1466">
        <f t="shared" ca="1" si="135"/>
        <v>2.5419733297398568</v>
      </c>
      <c r="G1466" s="3">
        <f t="shared" ca="1" si="138"/>
        <v>1.8941779180094966</v>
      </c>
      <c r="H1466">
        <f t="shared" ca="1" si="136"/>
        <v>1.3419929065644995</v>
      </c>
      <c r="I1466">
        <f t="shared" ca="1" si="137"/>
        <v>-1.8658869679534018</v>
      </c>
    </row>
    <row r="1467" spans="1:9" x14ac:dyDescent="0.3">
      <c r="A1467" s="1">
        <v>42305</v>
      </c>
      <c r="B1467" t="s">
        <v>0</v>
      </c>
      <c r="C1467">
        <v>712.95001200000002</v>
      </c>
      <c r="D1467" s="2">
        <f t="shared" si="133"/>
        <v>6.2951094058505764E-3</v>
      </c>
      <c r="E1467" s="2">
        <f t="shared" ca="1" si="134"/>
        <v>2.0581307334449424</v>
      </c>
      <c r="F1467">
        <f t="shared" ca="1" si="135"/>
        <v>2.0503630799914347</v>
      </c>
      <c r="G1467" s="3">
        <f t="shared" ca="1" si="138"/>
        <v>1.8980847717586493</v>
      </c>
      <c r="H1467">
        <f t="shared" ca="1" si="136"/>
        <v>1.0802273483769083</v>
      </c>
      <c r="I1467">
        <f t="shared" ca="1" si="137"/>
        <v>-1.4360432056991297</v>
      </c>
    </row>
    <row r="1468" spans="1:9" x14ac:dyDescent="0.3">
      <c r="A1468" s="1">
        <v>42306</v>
      </c>
      <c r="B1468" t="s">
        <v>0</v>
      </c>
      <c r="C1468">
        <v>716.919983</v>
      </c>
      <c r="D1468" s="2">
        <f t="shared" si="133"/>
        <v>5.5683721623950074E-3</v>
      </c>
      <c r="E1468" s="2">
        <f t="shared" ca="1" si="134"/>
        <v>1.0804779115105658</v>
      </c>
      <c r="F1468">
        <f t="shared" ca="1" si="135"/>
        <v>1.0823487781239751</v>
      </c>
      <c r="G1468" s="3">
        <f t="shared" ca="1" si="138"/>
        <v>1.8979131431710652</v>
      </c>
      <c r="H1468">
        <f t="shared" ca="1" si="136"/>
        <v>0.57028362020591128</v>
      </c>
      <c r="I1468">
        <f t="shared" ca="1" si="137"/>
        <v>-0.15829341656165657</v>
      </c>
    </row>
    <row r="1469" spans="1:9" x14ac:dyDescent="0.3">
      <c r="A1469" s="1">
        <v>42307</v>
      </c>
      <c r="B1469" t="s">
        <v>0</v>
      </c>
      <c r="C1469">
        <v>710.80999799999995</v>
      </c>
      <c r="D1469" s="2">
        <f t="shared" si="133"/>
        <v>-8.5225480456443785E-3</v>
      </c>
      <c r="E1469" s="2">
        <f t="shared" ca="1" si="134"/>
        <v>1.8548597137843366</v>
      </c>
      <c r="F1469">
        <f t="shared" ca="1" si="135"/>
        <v>1.849279473806579</v>
      </c>
      <c r="G1469" s="3">
        <f t="shared" ca="1" si="138"/>
        <v>1.8924062708602982</v>
      </c>
      <c r="H1469">
        <f t="shared" ca="1" si="136"/>
        <v>0.97721060339008836</v>
      </c>
      <c r="I1469">
        <f t="shared" ca="1" si="137"/>
        <v>-1.2296134182031657</v>
      </c>
    </row>
    <row r="1470" spans="1:9" x14ac:dyDescent="0.3">
      <c r="A1470" s="1">
        <v>42310</v>
      </c>
      <c r="B1470" t="s">
        <v>0</v>
      </c>
      <c r="C1470">
        <v>721.10998500000005</v>
      </c>
      <c r="D1470" s="2">
        <f t="shared" si="133"/>
        <v>1.4490492577455419E-2</v>
      </c>
      <c r="E1470" s="2">
        <f t="shared" ca="1" si="134"/>
        <v>0.20768569891618108</v>
      </c>
      <c r="F1470">
        <f t="shared" ca="1" si="135"/>
        <v>0.20675942125174468</v>
      </c>
      <c r="G1470" s="3">
        <f t="shared" ca="1" si="138"/>
        <v>1.8909744471631202</v>
      </c>
      <c r="H1470">
        <f t="shared" ca="1" si="136"/>
        <v>0.1093401455328651</v>
      </c>
      <c r="I1470">
        <f t="shared" ca="1" si="137"/>
        <v>3.1474870120468781</v>
      </c>
    </row>
    <row r="1471" spans="1:9" x14ac:dyDescent="0.3">
      <c r="A1471" s="1">
        <v>42311</v>
      </c>
      <c r="B1471" t="s">
        <v>0</v>
      </c>
      <c r="C1471">
        <v>722.15997300000004</v>
      </c>
      <c r="D1471" s="2">
        <f t="shared" si="133"/>
        <v>1.4560719194589779E-3</v>
      </c>
      <c r="E1471" s="2">
        <f t="shared" ca="1" si="134"/>
        <v>1.6431866379676827</v>
      </c>
      <c r="F1471">
        <f t="shared" ca="1" si="135"/>
        <v>1.6441730363885174</v>
      </c>
      <c r="G1471" s="3">
        <f t="shared" ca="1" si="138"/>
        <v>1.8835560500226134</v>
      </c>
      <c r="H1471">
        <f t="shared" ca="1" si="136"/>
        <v>0.87290900441681996</v>
      </c>
      <c r="I1471">
        <f t="shared" ca="1" si="137"/>
        <v>-0.99447587302491702</v>
      </c>
    </row>
    <row r="1472" spans="1:9" x14ac:dyDescent="0.3">
      <c r="A1472" s="1">
        <v>42312</v>
      </c>
      <c r="B1472" t="s">
        <v>0</v>
      </c>
      <c r="C1472">
        <v>728.10998500000005</v>
      </c>
      <c r="D1472" s="2">
        <f t="shared" si="133"/>
        <v>8.2391882996262593E-3</v>
      </c>
      <c r="E1472" s="2">
        <f t="shared" ca="1" si="134"/>
        <v>0.98272630556021823</v>
      </c>
      <c r="F1472">
        <f t="shared" ca="1" si="135"/>
        <v>0.97326897335866569</v>
      </c>
      <c r="G1472" s="3">
        <f t="shared" ca="1" si="138"/>
        <v>1.8810206479084699</v>
      </c>
      <c r="H1472">
        <f t="shared" ca="1" si="136"/>
        <v>0.51741535875263012</v>
      </c>
      <c r="I1472">
        <f t="shared" ca="1" si="137"/>
        <v>5.4117931332657326E-2</v>
      </c>
    </row>
    <row r="1473" spans="1:9" x14ac:dyDescent="0.3">
      <c r="A1473" s="1">
        <v>42313</v>
      </c>
      <c r="B1473" t="s">
        <v>0</v>
      </c>
      <c r="C1473">
        <v>731.25</v>
      </c>
      <c r="D1473" s="2">
        <f t="shared" si="133"/>
        <v>4.3125558839849564E-3</v>
      </c>
      <c r="E1473" s="2">
        <f t="shared" ca="1" si="134"/>
        <v>1.8192721049658407</v>
      </c>
      <c r="F1473">
        <f t="shared" ca="1" si="135"/>
        <v>1.8159087725807528</v>
      </c>
      <c r="G1473" s="3">
        <f t="shared" ca="1" si="138"/>
        <v>1.8753558316856682</v>
      </c>
      <c r="H1473">
        <f t="shared" ca="1" si="136"/>
        <v>0.96830091756427827</v>
      </c>
      <c r="I1473">
        <f t="shared" ca="1" si="137"/>
        <v>-1.19317772713854</v>
      </c>
    </row>
    <row r="1474" spans="1:9" x14ac:dyDescent="0.3">
      <c r="A1474" s="1">
        <v>42314</v>
      </c>
      <c r="B1474" t="s">
        <v>0</v>
      </c>
      <c r="C1474">
        <v>733.76000999999997</v>
      </c>
      <c r="D1474" s="2">
        <f t="shared" si="133"/>
        <v>3.4324923076922607E-3</v>
      </c>
      <c r="E1474" s="2">
        <f t="shared" ca="1" si="134"/>
        <v>0.81907896512068035</v>
      </c>
      <c r="F1474">
        <f t="shared" ca="1" si="135"/>
        <v>0.81266259464959079</v>
      </c>
      <c r="G1474" s="3">
        <f t="shared" ca="1" si="138"/>
        <v>1.8740618420314334</v>
      </c>
      <c r="H1474">
        <f t="shared" ca="1" si="136"/>
        <v>0.43363702116077774</v>
      </c>
      <c r="I1474">
        <f t="shared" ca="1" si="137"/>
        <v>0.41486069645992668</v>
      </c>
    </row>
    <row r="1475" spans="1:9" x14ac:dyDescent="0.3">
      <c r="A1475" s="1">
        <v>42317</v>
      </c>
      <c r="B1475" t="s">
        <v>0</v>
      </c>
      <c r="C1475">
        <v>724.89001499999995</v>
      </c>
      <c r="D1475" s="2">
        <f t="shared" si="133"/>
        <v>-1.2088414303199785E-2</v>
      </c>
      <c r="E1475" s="2">
        <f t="shared" ca="1" si="134"/>
        <v>1.2284305145189434</v>
      </c>
      <c r="F1475">
        <f t="shared" ca="1" si="135"/>
        <v>1.2247216496301478</v>
      </c>
      <c r="G1475" s="3">
        <f t="shared" ca="1" si="138"/>
        <v>1.8679702501552173</v>
      </c>
      <c r="H1475">
        <f t="shared" ca="1" si="136"/>
        <v>0.65564301654610435</v>
      </c>
      <c r="I1475">
        <f t="shared" ca="1" si="137"/>
        <v>-0.40552461030562442</v>
      </c>
    </row>
    <row r="1476" spans="1:9" x14ac:dyDescent="0.3">
      <c r="A1476" s="1">
        <v>42318</v>
      </c>
      <c r="B1476" t="s">
        <v>0</v>
      </c>
      <c r="C1476">
        <v>728.32000700000003</v>
      </c>
      <c r="D1476" s="2">
        <f t="shared" ref="D1476:D1539" si="139">(C1476-C1475)/C1475</f>
        <v>4.731741269742947E-3</v>
      </c>
      <c r="E1476" s="2">
        <f t="shared" ca="1" si="134"/>
        <v>-0.14712552432938023</v>
      </c>
      <c r="F1476">
        <f t="shared" ca="1" si="135"/>
        <v>-0.14565857857792389</v>
      </c>
      <c r="G1476" s="3">
        <f t="shared" ca="1" si="138"/>
        <v>1.8635126001453282</v>
      </c>
      <c r="H1476">
        <f t="shared" ca="1" si="136"/>
        <v>-7.8163452485679213E-2</v>
      </c>
      <c r="I1476">
        <f t="shared" ca="1" si="137"/>
        <v>3.8519245122740737</v>
      </c>
    </row>
    <row r="1477" spans="1:9" x14ac:dyDescent="0.3">
      <c r="A1477" s="1">
        <v>42319</v>
      </c>
      <c r="B1477" t="s">
        <v>0</v>
      </c>
      <c r="C1477">
        <v>735.40002400000003</v>
      </c>
      <c r="D1477" s="2">
        <f t="shared" si="139"/>
        <v>9.721025005427316E-3</v>
      </c>
      <c r="E1477" s="2">
        <f t="shared" ca="1" si="134"/>
        <v>-4.4522898575404284</v>
      </c>
      <c r="F1477">
        <f t="shared" ca="1" si="135"/>
        <v>-4.4461732835935583</v>
      </c>
      <c r="G1477" s="3">
        <f t="shared" ca="1" si="138"/>
        <v>1.8563711708107391</v>
      </c>
      <c r="H1477">
        <f t="shared" ca="1" si="136"/>
        <v>-2.3950885218992957</v>
      </c>
      <c r="I1477">
        <f t="shared" ca="1" si="137"/>
        <v>-2.984092360157625</v>
      </c>
    </row>
    <row r="1478" spans="1:9" x14ac:dyDescent="0.3">
      <c r="A1478" s="1">
        <v>42320</v>
      </c>
      <c r="B1478" t="s">
        <v>0</v>
      </c>
      <c r="C1478">
        <v>731.22997999999995</v>
      </c>
      <c r="D1478" s="2">
        <f t="shared" si="139"/>
        <v>-5.6704431111088398E-3</v>
      </c>
      <c r="E1478" s="2">
        <f t="shared" ref="E1478:E1541" ca="1" si="140">$N$9*D1477+$N$10*D1476+F1478</f>
        <v>-1.0840328693830568</v>
      </c>
      <c r="F1478">
        <f t="shared" ref="F1478:F1541" ca="1" si="141">G1478*H1478</f>
        <v>-1.0898777827495851</v>
      </c>
      <c r="G1478" s="3">
        <f t="shared" ca="1" si="138"/>
        <v>1.886185455168101</v>
      </c>
      <c r="H1478">
        <f t="shared" ref="H1478:H1541" ca="1" si="142">_xlfn.NORM.S.INV(RAND())</f>
        <v>-0.57782111497220345</v>
      </c>
      <c r="I1478">
        <f t="shared" ref="I1478:I1541" ca="1" si="143">-LN(F1478^2)-(D1478^2)/(F1478^2)</f>
        <v>-0.17215819745878047</v>
      </c>
    </row>
    <row r="1479" spans="1:9" x14ac:dyDescent="0.3">
      <c r="A1479" s="1">
        <v>42321</v>
      </c>
      <c r="B1479" t="s">
        <v>0</v>
      </c>
      <c r="C1479">
        <v>717</v>
      </c>
      <c r="D1479" s="2">
        <f t="shared" si="139"/>
        <v>-1.9460334490114802E-2</v>
      </c>
      <c r="E1479" s="2">
        <f t="shared" ca="1" si="140"/>
        <v>1.0095910897120626</v>
      </c>
      <c r="F1479">
        <f t="shared" ca="1" si="141"/>
        <v>1.0052285697111984</v>
      </c>
      <c r="G1479" s="3">
        <f t="shared" ref="G1479:G1542" ca="1" si="144">SQRT($N$6+$N$7*(H1478^2)+$N$8*(G1478^2))</f>
        <v>1.8808799026082388</v>
      </c>
      <c r="H1479">
        <f t="shared" ca="1" si="142"/>
        <v>0.53444590923494684</v>
      </c>
      <c r="I1479">
        <f t="shared" ca="1" si="143"/>
        <v>-1.0804671696634125E-2</v>
      </c>
    </row>
    <row r="1480" spans="1:9" x14ac:dyDescent="0.3">
      <c r="A1480" s="1">
        <v>42324</v>
      </c>
      <c r="B1480" t="s">
        <v>0</v>
      </c>
      <c r="C1480">
        <v>728.96002199999998</v>
      </c>
      <c r="D1480" s="2">
        <f t="shared" si="139"/>
        <v>1.6680644351464408E-2</v>
      </c>
      <c r="E1480" s="2">
        <f t="shared" ca="1" si="140"/>
        <v>-0.72132722408445993</v>
      </c>
      <c r="F1480">
        <f t="shared" ca="1" si="141"/>
        <v>-0.71199385867793086</v>
      </c>
      <c r="G1480" s="3">
        <f t="shared" ca="1" si="144"/>
        <v>1.8753316280698447</v>
      </c>
      <c r="H1480">
        <f t="shared" ca="1" si="142"/>
        <v>-0.37966290762703087</v>
      </c>
      <c r="I1480">
        <f t="shared" ca="1" si="143"/>
        <v>0.67882311149814789</v>
      </c>
    </row>
    <row r="1481" spans="1:9" x14ac:dyDescent="0.3">
      <c r="A1481" s="1">
        <v>42325</v>
      </c>
      <c r="B1481" t="s">
        <v>0</v>
      </c>
      <c r="C1481">
        <v>725.29998799999998</v>
      </c>
      <c r="D1481" s="2">
        <f t="shared" si="139"/>
        <v>-5.020898114492205E-3</v>
      </c>
      <c r="E1481" s="2">
        <f t="shared" ca="1" si="140"/>
        <v>1.3022214049171601</v>
      </c>
      <c r="F1481">
        <f t="shared" ca="1" si="141"/>
        <v>1.3093656992686555</v>
      </c>
      <c r="G1481" s="3">
        <f t="shared" ca="1" si="144"/>
        <v>1.8689424391461125</v>
      </c>
      <c r="H1481">
        <f t="shared" ca="1" si="142"/>
        <v>0.70059177417303564</v>
      </c>
      <c r="I1481">
        <f t="shared" ca="1" si="143"/>
        <v>-0.539100346021545</v>
      </c>
    </row>
    <row r="1482" spans="1:9" x14ac:dyDescent="0.3">
      <c r="A1482" s="1">
        <v>42326</v>
      </c>
      <c r="B1482" t="s">
        <v>0</v>
      </c>
      <c r="C1482">
        <v>740</v>
      </c>
      <c r="D1482" s="2">
        <f t="shared" si="139"/>
        <v>2.0267492407569178E-2</v>
      </c>
      <c r="E1482" s="2">
        <f t="shared" ca="1" si="140"/>
        <v>1.2817340477271326</v>
      </c>
      <c r="F1482">
        <f t="shared" ca="1" si="141"/>
        <v>1.2728441238720798</v>
      </c>
      <c r="G1482" s="3">
        <f t="shared" ca="1" si="144"/>
        <v>1.8648651388501463</v>
      </c>
      <c r="H1482">
        <f t="shared" ca="1" si="142"/>
        <v>0.68253950237758232</v>
      </c>
      <c r="I1482">
        <f t="shared" ca="1" si="143"/>
        <v>-0.48276127024696297</v>
      </c>
    </row>
    <row r="1483" spans="1:9" x14ac:dyDescent="0.3">
      <c r="A1483" s="1">
        <v>42327</v>
      </c>
      <c r="B1483" t="s">
        <v>0</v>
      </c>
      <c r="C1483">
        <v>738.40997300000004</v>
      </c>
      <c r="D1483" s="2">
        <f t="shared" si="139"/>
        <v>-2.1486851351350859E-3</v>
      </c>
      <c r="E1483" s="2">
        <f t="shared" ca="1" si="140"/>
        <v>-2.2910946293358139</v>
      </c>
      <c r="F1483">
        <f t="shared" ca="1" si="141"/>
        <v>-2.2940111984631084</v>
      </c>
      <c r="G1483" s="3">
        <f t="shared" ca="1" si="144"/>
        <v>1.86068016800867</v>
      </c>
      <c r="H1483">
        <f t="shared" ca="1" si="142"/>
        <v>-1.2328885092155286</v>
      </c>
      <c r="I1483">
        <f t="shared" ca="1" si="143"/>
        <v>-1.6606046779667698</v>
      </c>
    </row>
    <row r="1484" spans="1:9" x14ac:dyDescent="0.3">
      <c r="A1484" s="1">
        <v>42328</v>
      </c>
      <c r="B1484" t="s">
        <v>0</v>
      </c>
      <c r="C1484">
        <v>756.59997599999997</v>
      </c>
      <c r="D1484" s="2">
        <f t="shared" si="139"/>
        <v>2.4634015878872661E-2</v>
      </c>
      <c r="E1484" s="2">
        <f t="shared" ca="1" si="140"/>
        <v>2.2089466965484283</v>
      </c>
      <c r="F1484">
        <f t="shared" ca="1" si="141"/>
        <v>2.1969668596052743</v>
      </c>
      <c r="G1484" s="3">
        <f t="shared" ca="1" si="144"/>
        <v>1.8633616275014437</v>
      </c>
      <c r="H1484">
        <f t="shared" ca="1" si="142"/>
        <v>1.1790340786136919</v>
      </c>
      <c r="I1484">
        <f t="shared" ca="1" si="143"/>
        <v>-1.5742811433213677</v>
      </c>
    </row>
    <row r="1485" spans="1:9" x14ac:dyDescent="0.3">
      <c r="A1485" s="1">
        <v>42331</v>
      </c>
      <c r="B1485" t="s">
        <v>0</v>
      </c>
      <c r="C1485">
        <v>755.97997999999995</v>
      </c>
      <c r="D1485" s="2">
        <f t="shared" si="139"/>
        <v>-8.1945019781498737E-4</v>
      </c>
      <c r="E1485" s="2">
        <f t="shared" ca="1" si="140"/>
        <v>-4.2386158420554239</v>
      </c>
      <c r="F1485">
        <f t="shared" ca="1" si="141"/>
        <v>-4.2446228751146231</v>
      </c>
      <c r="G1485" s="3">
        <f t="shared" ca="1" si="144"/>
        <v>1.8651615264021668</v>
      </c>
      <c r="H1485">
        <f t="shared" ca="1" si="142"/>
        <v>-2.2757400981256333</v>
      </c>
      <c r="I1485">
        <f t="shared" ca="1" si="143"/>
        <v>-2.8913059893352089</v>
      </c>
    </row>
    <row r="1486" spans="1:9" x14ac:dyDescent="0.3">
      <c r="A1486" s="1">
        <v>42332</v>
      </c>
      <c r="B1486" t="s">
        <v>0</v>
      </c>
      <c r="C1486">
        <v>748.28002900000001</v>
      </c>
      <c r="D1486" s="2">
        <f t="shared" si="139"/>
        <v>-1.0185390094589465E-2</v>
      </c>
      <c r="E1486" s="2">
        <f t="shared" ca="1" si="140"/>
        <v>0.34270666834430924</v>
      </c>
      <c r="F1486">
        <f t="shared" ca="1" si="141"/>
        <v>0.32761147973439964</v>
      </c>
      <c r="G1486" s="3">
        <f t="shared" ca="1" si="144"/>
        <v>1.8911661566143378</v>
      </c>
      <c r="H1486">
        <f t="shared" ca="1" si="142"/>
        <v>0.17323252036241302</v>
      </c>
      <c r="I1486">
        <f t="shared" ca="1" si="143"/>
        <v>2.2308871929294383</v>
      </c>
    </row>
    <row r="1487" spans="1:9" x14ac:dyDescent="0.3">
      <c r="A1487" s="1">
        <v>42333</v>
      </c>
      <c r="B1487" t="s">
        <v>0</v>
      </c>
      <c r="C1487">
        <v>748.15002400000003</v>
      </c>
      <c r="D1487" s="2">
        <f t="shared" si="139"/>
        <v>-1.7373843342274048E-4</v>
      </c>
      <c r="E1487" s="2">
        <f t="shared" ca="1" si="140"/>
        <v>0.44938043187907362</v>
      </c>
      <c r="F1487">
        <f t="shared" ca="1" si="141"/>
        <v>0.45292763213601489</v>
      </c>
      <c r="G1487" s="3">
        <f t="shared" ca="1" si="144"/>
        <v>1.8838607573583894</v>
      </c>
      <c r="H1487">
        <f t="shared" ca="1" si="142"/>
        <v>0.24042521739829895</v>
      </c>
      <c r="I1487">
        <f t="shared" ca="1" si="143"/>
        <v>1.5840456902988715</v>
      </c>
    </row>
    <row r="1488" spans="1:9" x14ac:dyDescent="0.3">
      <c r="A1488" s="1">
        <v>42335</v>
      </c>
      <c r="B1488" t="s">
        <v>0</v>
      </c>
      <c r="C1488">
        <v>750.26000999999997</v>
      </c>
      <c r="D1488" s="2">
        <f t="shared" si="139"/>
        <v>2.8202712454901092E-3</v>
      </c>
      <c r="E1488" s="2">
        <f t="shared" ca="1" si="140"/>
        <v>8.3453674411141654E-2</v>
      </c>
      <c r="F1488">
        <f t="shared" ca="1" si="141"/>
        <v>8.9847885984494058E-2</v>
      </c>
      <c r="G1488" s="3">
        <f t="shared" ca="1" si="144"/>
        <v>1.8768172456313239</v>
      </c>
      <c r="H1488">
        <f t="shared" ca="1" si="142"/>
        <v>4.7872474634189019E-2</v>
      </c>
      <c r="I1488">
        <f t="shared" ca="1" si="143"/>
        <v>4.8182890941671035</v>
      </c>
    </row>
    <row r="1489" spans="1:9" x14ac:dyDescent="0.3">
      <c r="A1489" s="1">
        <v>42338</v>
      </c>
      <c r="B1489" t="s">
        <v>0</v>
      </c>
      <c r="C1489">
        <v>742.59997599999997</v>
      </c>
      <c r="D1489" s="2">
        <f t="shared" si="139"/>
        <v>-1.0209839119640665E-2</v>
      </c>
      <c r="E1489" s="2">
        <f t="shared" ca="1" si="140"/>
        <v>2.0600755413115128</v>
      </c>
      <c r="F1489">
        <f t="shared" ca="1" si="141"/>
        <v>2.0593428202418624</v>
      </c>
      <c r="G1489" s="3">
        <f t="shared" ca="1" si="144"/>
        <v>1.8694986407405507</v>
      </c>
      <c r="H1489">
        <f t="shared" ca="1" si="142"/>
        <v>1.1015481773370588</v>
      </c>
      <c r="I1489">
        <f t="shared" ca="1" si="143"/>
        <v>-1.4447984051297296</v>
      </c>
    </row>
    <row r="1490" spans="1:9" x14ac:dyDescent="0.3">
      <c r="A1490" s="1">
        <v>42339</v>
      </c>
      <c r="B1490" t="s">
        <v>0</v>
      </c>
      <c r="C1490">
        <v>767.03997800000002</v>
      </c>
      <c r="D1490" s="2">
        <f t="shared" si="139"/>
        <v>3.2911396161962779E-2</v>
      </c>
      <c r="E1490" s="2">
        <f t="shared" ca="1" si="140"/>
        <v>-3.8364397782942508</v>
      </c>
      <c r="F1490">
        <f t="shared" ca="1" si="141"/>
        <v>-3.8351517307063214</v>
      </c>
      <c r="G1490" s="3">
        <f t="shared" ca="1" si="144"/>
        <v>1.8700637029153708</v>
      </c>
      <c r="H1490">
        <f t="shared" ca="1" si="142"/>
        <v>-2.0508134159961715</v>
      </c>
      <c r="I1490">
        <f t="shared" ca="1" si="143"/>
        <v>-2.6884916398441341</v>
      </c>
    </row>
    <row r="1491" spans="1:9" x14ac:dyDescent="0.3">
      <c r="A1491" s="1">
        <v>42340</v>
      </c>
      <c r="B1491" t="s">
        <v>0</v>
      </c>
      <c r="C1491">
        <v>762.38000499999998</v>
      </c>
      <c r="D1491" s="2">
        <f t="shared" si="139"/>
        <v>-6.07526743540874E-3</v>
      </c>
      <c r="E1491" s="2">
        <f t="shared" ca="1" si="140"/>
        <v>0.79354867324060985</v>
      </c>
      <c r="F1491">
        <f t="shared" ca="1" si="141"/>
        <v>0.7900932654085242</v>
      </c>
      <c r="G1491" s="3">
        <f t="shared" ca="1" si="144"/>
        <v>1.8897482242079511</v>
      </c>
      <c r="H1491">
        <f t="shared" ca="1" si="142"/>
        <v>0.41809446109662329</v>
      </c>
      <c r="I1491">
        <f t="shared" ca="1" si="143"/>
        <v>0.47114944062180042</v>
      </c>
    </row>
    <row r="1492" spans="1:9" x14ac:dyDescent="0.3">
      <c r="A1492" s="1">
        <v>42341</v>
      </c>
      <c r="B1492" t="s">
        <v>0</v>
      </c>
      <c r="C1492">
        <v>752.53997800000002</v>
      </c>
      <c r="D1492" s="2">
        <f t="shared" si="139"/>
        <v>-1.2906984621140429E-2</v>
      </c>
      <c r="E1492" s="2">
        <f t="shared" ca="1" si="140"/>
        <v>-1.5509234911194054</v>
      </c>
      <c r="F1492">
        <f t="shared" ca="1" si="141"/>
        <v>-1.5696058740351544</v>
      </c>
      <c r="G1492" s="3">
        <f t="shared" ca="1" si="144"/>
        <v>1.8833832975459894</v>
      </c>
      <c r="H1492">
        <f t="shared" ca="1" si="142"/>
        <v>-0.83339693841413975</v>
      </c>
      <c r="I1492">
        <f t="shared" ca="1" si="143"/>
        <v>-0.90171672333758068</v>
      </c>
    </row>
    <row r="1493" spans="1:9" x14ac:dyDescent="0.3">
      <c r="A1493" s="1">
        <v>42342</v>
      </c>
      <c r="B1493" t="s">
        <v>0</v>
      </c>
      <c r="C1493">
        <v>766.80999799999995</v>
      </c>
      <c r="D1493" s="2">
        <f t="shared" si="139"/>
        <v>1.8962474309902951E-2</v>
      </c>
      <c r="E1493" s="2">
        <f t="shared" ca="1" si="140"/>
        <v>-2.0876913188679476</v>
      </c>
      <c r="F1493">
        <f t="shared" ca="1" si="141"/>
        <v>-2.080059853142346</v>
      </c>
      <c r="G1493" s="3">
        <f t="shared" ca="1" si="144"/>
        <v>1.8804194488280099</v>
      </c>
      <c r="H1493">
        <f t="shared" ca="1" si="142"/>
        <v>-1.1061680171616837</v>
      </c>
      <c r="I1493">
        <f t="shared" ca="1" si="143"/>
        <v>-1.4648764448387857</v>
      </c>
    </row>
    <row r="1494" spans="1:9" x14ac:dyDescent="0.3">
      <c r="A1494" s="1">
        <v>42345</v>
      </c>
      <c r="B1494" t="s">
        <v>0</v>
      </c>
      <c r="C1494">
        <v>763.25</v>
      </c>
      <c r="D1494" s="2">
        <f t="shared" si="139"/>
        <v>-4.6426076984978889E-3</v>
      </c>
      <c r="E1494" s="2">
        <f t="shared" ca="1" si="140"/>
        <v>-1.0518141655792275</v>
      </c>
      <c r="F1494">
        <f t="shared" ca="1" si="141"/>
        <v>-1.0494309833849327</v>
      </c>
      <c r="G1494" s="3">
        <f t="shared" ca="1" si="144"/>
        <v>1.8808799815369683</v>
      </c>
      <c r="H1494">
        <f t="shared" ca="1" si="142"/>
        <v>-0.55794680877372416</v>
      </c>
      <c r="I1494">
        <f t="shared" ca="1" si="143"/>
        <v>-9.6515764527141279E-2</v>
      </c>
    </row>
    <row r="1495" spans="1:9" x14ac:dyDescent="0.3">
      <c r="A1495" s="1">
        <v>42346</v>
      </c>
      <c r="B1495" t="s">
        <v>0</v>
      </c>
      <c r="C1495">
        <v>762.36999500000002</v>
      </c>
      <c r="D1495" s="2">
        <f t="shared" si="139"/>
        <v>-1.1529708483458668E-3</v>
      </c>
      <c r="E1495" s="2">
        <f t="shared" ca="1" si="140"/>
        <v>1.3489339826349482</v>
      </c>
      <c r="F1495">
        <f t="shared" ca="1" si="141"/>
        <v>1.3385103776714911</v>
      </c>
      <c r="G1495" s="3">
        <f t="shared" ca="1" si="144"/>
        <v>1.875496225932904</v>
      </c>
      <c r="H1495">
        <f t="shared" ca="1" si="142"/>
        <v>0.71368332239948551</v>
      </c>
      <c r="I1495">
        <f t="shared" ca="1" si="143"/>
        <v>-0.58311541629794361</v>
      </c>
    </row>
    <row r="1496" spans="1:9" x14ac:dyDescent="0.3">
      <c r="A1496" s="1">
        <v>42347</v>
      </c>
      <c r="B1496" t="s">
        <v>0</v>
      </c>
      <c r="C1496">
        <v>751.60998500000005</v>
      </c>
      <c r="D1496" s="2">
        <f t="shared" si="139"/>
        <v>-1.4113894920536538E-2</v>
      </c>
      <c r="E1496" s="2">
        <f t="shared" ca="1" si="140"/>
        <v>0.51002090806138589</v>
      </c>
      <c r="F1496">
        <f t="shared" ca="1" si="141"/>
        <v>0.51325562060496177</v>
      </c>
      <c r="G1496" s="3">
        <f t="shared" ca="1" si="144"/>
        <v>1.87145187867959</v>
      </c>
      <c r="H1496">
        <f t="shared" ca="1" si="142"/>
        <v>0.27425531292158645</v>
      </c>
      <c r="I1496">
        <f t="shared" ca="1" si="143"/>
        <v>1.3332063622762629</v>
      </c>
    </row>
    <row r="1497" spans="1:9" x14ac:dyDescent="0.3">
      <c r="A1497" s="1">
        <v>42348</v>
      </c>
      <c r="B1497" t="s">
        <v>0</v>
      </c>
      <c r="C1497">
        <v>749.46002199999998</v>
      </c>
      <c r="D1497" s="2">
        <f t="shared" si="139"/>
        <v>-2.8604769001306847E-3</v>
      </c>
      <c r="E1497" s="2">
        <f t="shared" ca="1" si="140"/>
        <v>-0.17934169547665355</v>
      </c>
      <c r="F1497">
        <f t="shared" ca="1" si="141"/>
        <v>-0.17441546863983975</v>
      </c>
      <c r="G1497" s="3">
        <f t="shared" ca="1" si="144"/>
        <v>1.8646647567880483</v>
      </c>
      <c r="H1497">
        <f t="shared" ca="1" si="142"/>
        <v>-9.3537172301297003E-2</v>
      </c>
      <c r="I1497">
        <f t="shared" ca="1" si="143"/>
        <v>3.4923611783343458</v>
      </c>
    </row>
    <row r="1498" spans="1:9" x14ac:dyDescent="0.3">
      <c r="A1498" s="1">
        <v>42349</v>
      </c>
      <c r="B1498" t="s">
        <v>0</v>
      </c>
      <c r="C1498">
        <v>738.86999500000002</v>
      </c>
      <c r="D1498" s="2">
        <f t="shared" si="139"/>
        <v>-1.4130209336235901E-2</v>
      </c>
      <c r="E1498" s="2">
        <f t="shared" ca="1" si="140"/>
        <v>-0.83897448818634435</v>
      </c>
      <c r="F1498">
        <f t="shared" ca="1" si="141"/>
        <v>-0.82933291707233547</v>
      </c>
      <c r="G1498" s="3">
        <f t="shared" ca="1" si="144"/>
        <v>1.857527160724233</v>
      </c>
      <c r="H1498">
        <f t="shared" ca="1" si="142"/>
        <v>-0.44647148887394256</v>
      </c>
      <c r="I1498">
        <f t="shared" ca="1" si="143"/>
        <v>0.37397693654144826</v>
      </c>
    </row>
    <row r="1499" spans="1:9" x14ac:dyDescent="0.3">
      <c r="A1499" s="1">
        <v>42352</v>
      </c>
      <c r="B1499" t="s">
        <v>0</v>
      </c>
      <c r="C1499">
        <v>747.77002000000005</v>
      </c>
      <c r="D1499" s="2">
        <f t="shared" si="139"/>
        <v>1.2045454626967262E-2</v>
      </c>
      <c r="E1499" s="2">
        <f t="shared" ca="1" si="140"/>
        <v>-1.629212195671029</v>
      </c>
      <c r="F1499">
        <f t="shared" ca="1" si="141"/>
        <v>-1.6232178460595013</v>
      </c>
      <c r="G1499" s="3">
        <f t="shared" ca="1" si="144"/>
        <v>1.85170920233908</v>
      </c>
      <c r="H1499">
        <f t="shared" ca="1" si="142"/>
        <v>-0.87660516241375896</v>
      </c>
      <c r="I1499">
        <f t="shared" ca="1" si="143"/>
        <v>-0.96887607484784988</v>
      </c>
    </row>
    <row r="1500" spans="1:9" x14ac:dyDescent="0.3">
      <c r="A1500" s="1">
        <v>42353</v>
      </c>
      <c r="B1500" t="s">
        <v>0</v>
      </c>
      <c r="C1500">
        <v>743.40002400000003</v>
      </c>
      <c r="D1500" s="2">
        <f t="shared" si="139"/>
        <v>-5.8440374488402391E-3</v>
      </c>
      <c r="E1500" s="2">
        <f t="shared" ca="1" si="140"/>
        <v>1.6683374885838247</v>
      </c>
      <c r="F1500">
        <f t="shared" ca="1" si="141"/>
        <v>1.6735447849898895</v>
      </c>
      <c r="G1500" s="3">
        <f t="shared" ca="1" si="144"/>
        <v>1.849663808949616</v>
      </c>
      <c r="H1500">
        <f t="shared" ca="1" si="142"/>
        <v>0.90478322433105252</v>
      </c>
      <c r="I1500">
        <f t="shared" ca="1" si="143"/>
        <v>-1.0299001993113059</v>
      </c>
    </row>
    <row r="1501" spans="1:9" x14ac:dyDescent="0.3">
      <c r="A1501" s="1">
        <v>42354</v>
      </c>
      <c r="B1501" t="s">
        <v>0</v>
      </c>
      <c r="C1501">
        <v>758.09002699999996</v>
      </c>
      <c r="D1501" s="2">
        <f t="shared" si="139"/>
        <v>1.976056298862849E-2</v>
      </c>
      <c r="E1501" s="2">
        <f t="shared" ca="1" si="140"/>
        <v>-2.3115541831108737</v>
      </c>
      <c r="F1501">
        <f t="shared" ca="1" si="141"/>
        <v>-2.3173123579289463</v>
      </c>
      <c r="G1501" s="3">
        <f t="shared" ca="1" si="144"/>
        <v>1.8479739573669742</v>
      </c>
      <c r="H1501">
        <f t="shared" ca="1" si="142"/>
        <v>-1.2539745750696041</v>
      </c>
      <c r="I1501">
        <f t="shared" ca="1" si="143"/>
        <v>-1.6808888113695526</v>
      </c>
    </row>
    <row r="1502" spans="1:9" x14ac:dyDescent="0.3">
      <c r="A1502" s="1">
        <v>42355</v>
      </c>
      <c r="B1502" t="s">
        <v>0</v>
      </c>
      <c r="C1502">
        <v>749.42999299999997</v>
      </c>
      <c r="D1502" s="2">
        <f t="shared" si="139"/>
        <v>-1.1423490207713808E-2</v>
      </c>
      <c r="E1502" s="2">
        <f t="shared" ca="1" si="140"/>
        <v>0.81460077858008484</v>
      </c>
      <c r="F1502">
        <f t="shared" ca="1" si="141"/>
        <v>0.81234792443157666</v>
      </c>
      <c r="G1502" s="3">
        <f t="shared" ca="1" si="144"/>
        <v>1.8512089175434367</v>
      </c>
      <c r="H1502">
        <f t="shared" ca="1" si="142"/>
        <v>0.43882023078711524</v>
      </c>
      <c r="I1502">
        <f t="shared" ca="1" si="143"/>
        <v>0.41545535582702131</v>
      </c>
    </row>
    <row r="1503" spans="1:9" x14ac:dyDescent="0.3">
      <c r="A1503" s="1">
        <v>42356</v>
      </c>
      <c r="B1503" t="s">
        <v>0</v>
      </c>
      <c r="C1503">
        <v>739.30999799999995</v>
      </c>
      <c r="D1503" s="2">
        <f t="shared" si="139"/>
        <v>-1.3503589520735952E-2</v>
      </c>
      <c r="E1503" s="2">
        <f t="shared" ca="1" si="140"/>
        <v>0.13286267766748938</v>
      </c>
      <c r="F1503">
        <f t="shared" ca="1" si="141"/>
        <v>0.12396393034005039</v>
      </c>
      <c r="G1503" s="3">
        <f t="shared" ca="1" si="144"/>
        <v>1.8454239830825085</v>
      </c>
      <c r="H1503">
        <f t="shared" ca="1" si="142"/>
        <v>6.7173685546769002E-2</v>
      </c>
      <c r="I1503">
        <f t="shared" ca="1" si="143"/>
        <v>4.163663186181398</v>
      </c>
    </row>
    <row r="1504" spans="1:9" x14ac:dyDescent="0.3">
      <c r="A1504" s="1">
        <v>42359</v>
      </c>
      <c r="B1504" t="s">
        <v>0</v>
      </c>
      <c r="C1504">
        <v>747.77002000000005</v>
      </c>
      <c r="D1504" s="2">
        <f t="shared" si="139"/>
        <v>1.1443132140626205E-2</v>
      </c>
      <c r="E1504" s="2">
        <f t="shared" ca="1" si="140"/>
        <v>-1.2434818997734793</v>
      </c>
      <c r="F1504">
        <f t="shared" ca="1" si="141"/>
        <v>-1.2323422264262078</v>
      </c>
      <c r="G1504" s="3">
        <f t="shared" ca="1" si="144"/>
        <v>1.8384807891217883</v>
      </c>
      <c r="H1504">
        <f t="shared" ca="1" si="142"/>
        <v>-0.67030465247062887</v>
      </c>
      <c r="I1504">
        <f t="shared" ca="1" si="143"/>
        <v>-0.4179194392562165</v>
      </c>
    </row>
    <row r="1505" spans="1:9" x14ac:dyDescent="0.3">
      <c r="A1505" s="1">
        <v>42360</v>
      </c>
      <c r="B1505" t="s">
        <v>0</v>
      </c>
      <c r="C1505">
        <v>750</v>
      </c>
      <c r="D1505" s="2">
        <f t="shared" si="139"/>
        <v>2.9821735832628793E-3</v>
      </c>
      <c r="E1505" s="2">
        <f t="shared" ca="1" si="140"/>
        <v>-0.82052589853470159</v>
      </c>
      <c r="F1505">
        <f t="shared" ca="1" si="141"/>
        <v>-0.81552920446897081</v>
      </c>
      <c r="G1505" s="3">
        <f t="shared" ca="1" si="144"/>
        <v>1.8345343217223957</v>
      </c>
      <c r="H1505">
        <f t="shared" ca="1" si="142"/>
        <v>-0.44454289833252725</v>
      </c>
      <c r="I1505">
        <f t="shared" ca="1" si="143"/>
        <v>0.40782271995138769</v>
      </c>
    </row>
    <row r="1506" spans="1:9" x14ac:dyDescent="0.3">
      <c r="A1506" s="1">
        <v>42361</v>
      </c>
      <c r="B1506" t="s">
        <v>0</v>
      </c>
      <c r="C1506">
        <v>750.30999799999995</v>
      </c>
      <c r="D1506" s="2">
        <f t="shared" si="139"/>
        <v>4.1333066666660061E-4</v>
      </c>
      <c r="E1506" s="2">
        <f t="shared" ca="1" si="140"/>
        <v>-2.5643498574770827</v>
      </c>
      <c r="F1506">
        <f t="shared" ca="1" si="141"/>
        <v>-2.5723646391728101</v>
      </c>
      <c r="G1506" s="3">
        <f t="shared" ca="1" si="144"/>
        <v>1.8289867245844147</v>
      </c>
      <c r="H1506">
        <f t="shared" ca="1" si="142"/>
        <v>-1.4064424878520136</v>
      </c>
      <c r="I1506">
        <f t="shared" ca="1" si="143"/>
        <v>-1.8896511637070887</v>
      </c>
    </row>
    <row r="1507" spans="1:9" x14ac:dyDescent="0.3">
      <c r="A1507" s="1">
        <v>42362</v>
      </c>
      <c r="B1507" t="s">
        <v>0</v>
      </c>
      <c r="C1507">
        <v>748.40002400000003</v>
      </c>
      <c r="D1507" s="2">
        <f t="shared" si="139"/>
        <v>-2.5455798337901399E-3</v>
      </c>
      <c r="E1507" s="2">
        <f t="shared" ca="1" si="140"/>
        <v>-9.1008419498443734E-3</v>
      </c>
      <c r="F1507">
        <f t="shared" ca="1" si="141"/>
        <v>-1.1081072512469318E-2</v>
      </c>
      <c r="G1507" s="3">
        <f t="shared" ca="1" si="144"/>
        <v>1.8352047744326125</v>
      </c>
      <c r="H1507">
        <f t="shared" ca="1" si="142"/>
        <v>-6.0380578052360596E-3</v>
      </c>
      <c r="I1507">
        <f t="shared" ca="1" si="143"/>
        <v>8.9522608453163368</v>
      </c>
    </row>
    <row r="1508" spans="1:9" x14ac:dyDescent="0.3">
      <c r="A1508" s="1">
        <v>42366</v>
      </c>
      <c r="B1508" t="s">
        <v>0</v>
      </c>
      <c r="C1508">
        <v>762.51000999999997</v>
      </c>
      <c r="D1508" s="2">
        <f t="shared" si="139"/>
        <v>1.8853534937887623E-2</v>
      </c>
      <c r="E1508" s="2">
        <f t="shared" ca="1" si="140"/>
        <v>0.49223016713888601</v>
      </c>
      <c r="F1508">
        <f t="shared" ca="1" si="141"/>
        <v>0.49273179143031076</v>
      </c>
      <c r="G1508" s="3">
        <f t="shared" ca="1" si="144"/>
        <v>1.8283505991161872</v>
      </c>
      <c r="H1508">
        <f t="shared" ca="1" si="142"/>
        <v>0.26949524433032379</v>
      </c>
      <c r="I1508">
        <f t="shared" ca="1" si="143"/>
        <v>1.414116494514382</v>
      </c>
    </row>
    <row r="1509" spans="1:9" x14ac:dyDescent="0.3">
      <c r="A1509" s="1">
        <v>42367</v>
      </c>
      <c r="B1509" t="s">
        <v>0</v>
      </c>
      <c r="C1509">
        <v>776.59997599999997</v>
      </c>
      <c r="D1509" s="2">
        <f t="shared" si="139"/>
        <v>1.847840135239668E-2</v>
      </c>
      <c r="E1509" s="2">
        <f t="shared" ca="1" si="140"/>
        <v>-1.9311844897389951</v>
      </c>
      <c r="F1509">
        <f t="shared" ca="1" si="141"/>
        <v>-1.9352208381335889</v>
      </c>
      <c r="G1509" s="3">
        <f t="shared" ca="1" si="144"/>
        <v>1.8220548890896016</v>
      </c>
      <c r="H1509">
        <f t="shared" ca="1" si="142"/>
        <v>-1.0621089681335183</v>
      </c>
      <c r="I1509">
        <f t="shared" ca="1" si="143"/>
        <v>-1.3205340697193282</v>
      </c>
    </row>
    <row r="1510" spans="1:9" x14ac:dyDescent="0.3">
      <c r="A1510" s="1">
        <v>42368</v>
      </c>
      <c r="B1510" t="s">
        <v>0</v>
      </c>
      <c r="C1510">
        <v>771</v>
      </c>
      <c r="D1510" s="2">
        <f t="shared" si="139"/>
        <v>-7.2108887111270907E-3</v>
      </c>
      <c r="E1510" s="2">
        <f t="shared" ca="1" si="140"/>
        <v>-0.76447764106406824</v>
      </c>
      <c r="F1510">
        <f t="shared" ca="1" si="141"/>
        <v>-0.7817272956901582</v>
      </c>
      <c r="G1510" s="3">
        <f t="shared" ca="1" si="144"/>
        <v>1.822806455136029</v>
      </c>
      <c r="H1510">
        <f t="shared" ca="1" si="142"/>
        <v>-0.4288591877034037</v>
      </c>
      <c r="I1510">
        <f t="shared" ca="1" si="143"/>
        <v>0.4924135642414641</v>
      </c>
    </row>
    <row r="1511" spans="1:9" x14ac:dyDescent="0.3">
      <c r="A1511" s="1">
        <v>42369</v>
      </c>
      <c r="B1511" t="s">
        <v>0</v>
      </c>
      <c r="C1511">
        <v>758.88000499999998</v>
      </c>
      <c r="D1511" s="2">
        <f t="shared" si="139"/>
        <v>-1.571983787289237E-2</v>
      </c>
      <c r="E1511" s="2">
        <f t="shared" ca="1" si="140"/>
        <v>1.3504276972746783</v>
      </c>
      <c r="F1511">
        <f t="shared" ca="1" si="141"/>
        <v>1.3410712955829229</v>
      </c>
      <c r="G1511" s="3">
        <f t="shared" ca="1" si="144"/>
        <v>1.817312874022371</v>
      </c>
      <c r="H1511">
        <f t="shared" ca="1" si="142"/>
        <v>0.73794188923267068</v>
      </c>
      <c r="I1511">
        <f t="shared" ca="1" si="143"/>
        <v>-0.58707493952841006</v>
      </c>
    </row>
    <row r="1512" spans="1:9" x14ac:dyDescent="0.3">
      <c r="A1512" s="1">
        <v>42373</v>
      </c>
      <c r="B1512" t="s">
        <v>0</v>
      </c>
      <c r="C1512">
        <v>741.84002699999996</v>
      </c>
      <c r="D1512" s="2">
        <f t="shared" si="139"/>
        <v>-2.2454113809468493E-2</v>
      </c>
      <c r="E1512" s="2">
        <f t="shared" ca="1" si="140"/>
        <v>1.2038652557095151</v>
      </c>
      <c r="F1512">
        <f t="shared" ca="1" si="141"/>
        <v>1.2130425646823955</v>
      </c>
      <c r="G1512" s="3">
        <f t="shared" ca="1" si="144"/>
        <v>1.8142775951531807</v>
      </c>
      <c r="H1512">
        <f t="shared" ca="1" si="142"/>
        <v>0.66860913011494116</v>
      </c>
      <c r="I1512">
        <f t="shared" ca="1" si="143"/>
        <v>-0.38660608087650833</v>
      </c>
    </row>
    <row r="1513" spans="1:9" x14ac:dyDescent="0.3">
      <c r="A1513" s="1">
        <v>42374</v>
      </c>
      <c r="B1513" t="s">
        <v>0</v>
      </c>
      <c r="C1513">
        <v>742.580017</v>
      </c>
      <c r="D1513" s="2">
        <f t="shared" si="139"/>
        <v>9.9750616449283927E-4</v>
      </c>
      <c r="E1513" s="2">
        <f t="shared" ca="1" si="140"/>
        <v>-0.91932860735340893</v>
      </c>
      <c r="F1513">
        <f t="shared" ca="1" si="141"/>
        <v>-0.9028448754850209</v>
      </c>
      <c r="G1513" s="3">
        <f t="shared" ca="1" si="144"/>
        <v>1.8106365486275811</v>
      </c>
      <c r="H1513">
        <f t="shared" ca="1" si="142"/>
        <v>-0.49863396172432045</v>
      </c>
      <c r="I1513">
        <f t="shared" ca="1" si="143"/>
        <v>0.20440783584757138</v>
      </c>
    </row>
    <row r="1514" spans="1:9" x14ac:dyDescent="0.3">
      <c r="A1514" s="1">
        <v>42375</v>
      </c>
      <c r="B1514" t="s">
        <v>0</v>
      </c>
      <c r="C1514">
        <v>743.61999500000002</v>
      </c>
      <c r="D1514" s="2">
        <f t="shared" si="139"/>
        <v>1.4004928441267485E-3</v>
      </c>
      <c r="E1514" s="2">
        <f t="shared" ca="1" si="140"/>
        <v>-0.43929418634492812</v>
      </c>
      <c r="F1514">
        <f t="shared" ca="1" si="141"/>
        <v>-0.42560950569072065</v>
      </c>
      <c r="G1514" s="3">
        <f t="shared" ca="1" si="144"/>
        <v>1.8057239487015457</v>
      </c>
      <c r="H1514">
        <f t="shared" ca="1" si="142"/>
        <v>-0.23570020544766357</v>
      </c>
      <c r="I1514">
        <f t="shared" ca="1" si="143"/>
        <v>1.7084551850357965</v>
      </c>
    </row>
    <row r="1515" spans="1:9" x14ac:dyDescent="0.3">
      <c r="A1515" s="1">
        <v>42376</v>
      </c>
      <c r="B1515" t="s">
        <v>0</v>
      </c>
      <c r="C1515">
        <v>726.39001499999995</v>
      </c>
      <c r="D1515" s="2">
        <f t="shared" si="139"/>
        <v>-2.3170409773610335E-2</v>
      </c>
      <c r="E1515" s="2">
        <f t="shared" ca="1" si="140"/>
        <v>0.39880874426555629</v>
      </c>
      <c r="F1515">
        <f t="shared" ca="1" si="141"/>
        <v>0.39777002190510996</v>
      </c>
      <c r="G1515" s="3">
        <f t="shared" ca="1" si="144"/>
        <v>1.7995843186502296</v>
      </c>
      <c r="H1515">
        <f t="shared" ca="1" si="142"/>
        <v>0.22103438987702206</v>
      </c>
      <c r="I1515">
        <f t="shared" ca="1" si="143"/>
        <v>1.8403693981131863</v>
      </c>
    </row>
    <row r="1516" spans="1:9" x14ac:dyDescent="0.3">
      <c r="A1516" s="1">
        <v>42377</v>
      </c>
      <c r="B1516" t="s">
        <v>0</v>
      </c>
      <c r="C1516">
        <v>714.46997099999999</v>
      </c>
      <c r="D1516" s="2">
        <f t="shared" si="139"/>
        <v>-1.6409977772065001E-2</v>
      </c>
      <c r="E1516" s="2">
        <f t="shared" ca="1" si="140"/>
        <v>0.75300760374190723</v>
      </c>
      <c r="F1516">
        <f t="shared" ca="1" si="141"/>
        <v>0.75904413691079031</v>
      </c>
      <c r="G1516" s="3">
        <f t="shared" ca="1" si="144"/>
        <v>1.7934731217055</v>
      </c>
      <c r="H1516">
        <f t="shared" ca="1" si="142"/>
        <v>0.42322582241376366</v>
      </c>
      <c r="I1516">
        <f t="shared" ca="1" si="143"/>
        <v>0.55092331105866621</v>
      </c>
    </row>
    <row r="1517" spans="1:9" x14ac:dyDescent="0.3">
      <c r="A1517" s="1">
        <v>42380</v>
      </c>
      <c r="B1517" t="s">
        <v>0</v>
      </c>
      <c r="C1517">
        <v>716.03002900000001</v>
      </c>
      <c r="D1517" s="2">
        <f t="shared" si="139"/>
        <v>2.1835179410220817E-3</v>
      </c>
      <c r="E1517" s="2">
        <f t="shared" ca="1" si="140"/>
        <v>-1.5620394050319346</v>
      </c>
      <c r="F1517">
        <f t="shared" ca="1" si="141"/>
        <v>-1.5427183791292973</v>
      </c>
      <c r="G1517" s="3">
        <f t="shared" ca="1" si="144"/>
        <v>1.7883105995082114</v>
      </c>
      <c r="H1517">
        <f t="shared" ca="1" si="142"/>
        <v>-0.862668028447378</v>
      </c>
      <c r="I1517">
        <f t="shared" ca="1" si="143"/>
        <v>-0.86709408642705521</v>
      </c>
    </row>
    <row r="1518" spans="1:9" x14ac:dyDescent="0.3">
      <c r="A1518" s="1">
        <v>42381</v>
      </c>
      <c r="B1518" t="s">
        <v>0</v>
      </c>
      <c r="C1518">
        <v>726.07000700000003</v>
      </c>
      <c r="D1518" s="2">
        <f t="shared" si="139"/>
        <v>1.4021727571987094E-2</v>
      </c>
      <c r="E1518" s="2">
        <f t="shared" ca="1" si="140"/>
        <v>0.69820350124673791</v>
      </c>
      <c r="F1518">
        <f t="shared" ca="1" si="141"/>
        <v>0.70777089062607501</v>
      </c>
      <c r="G1518" s="3">
        <f t="shared" ca="1" si="144"/>
        <v>1.7870168539891118</v>
      </c>
      <c r="H1518">
        <f t="shared" ca="1" si="142"/>
        <v>0.39606279540460754</v>
      </c>
      <c r="I1518">
        <f t="shared" ca="1" si="143"/>
        <v>0.69087719682498416</v>
      </c>
    </row>
    <row r="1519" spans="1:9" x14ac:dyDescent="0.3">
      <c r="A1519" s="1">
        <v>42382</v>
      </c>
      <c r="B1519" t="s">
        <v>0</v>
      </c>
      <c r="C1519">
        <v>700.55999799999995</v>
      </c>
      <c r="D1519" s="2">
        <f t="shared" si="139"/>
        <v>-3.513436549376716E-2</v>
      </c>
      <c r="E1519" s="2">
        <f t="shared" ca="1" si="140"/>
        <v>-0.54746009862021305</v>
      </c>
      <c r="F1519">
        <f t="shared" ca="1" si="141"/>
        <v>-0.55300056261038755</v>
      </c>
      <c r="G1519" s="3">
        <f t="shared" ca="1" si="144"/>
        <v>1.7817846831551103</v>
      </c>
      <c r="H1519">
        <f t="shared" ca="1" si="142"/>
        <v>-0.31036329352161518</v>
      </c>
      <c r="I1519">
        <f t="shared" ca="1" si="143"/>
        <v>1.1807559446312446</v>
      </c>
    </row>
    <row r="1520" spans="1:9" x14ac:dyDescent="0.3">
      <c r="A1520" s="1">
        <v>42383</v>
      </c>
      <c r="B1520" t="s">
        <v>0</v>
      </c>
      <c r="C1520">
        <v>714.71997099999999</v>
      </c>
      <c r="D1520" s="2">
        <f t="shared" si="139"/>
        <v>2.0212363024472942E-2</v>
      </c>
      <c r="E1520" s="2">
        <f t="shared" ca="1" si="140"/>
        <v>2.1247022319082132</v>
      </c>
      <c r="F1520">
        <f t="shared" ca="1" si="141"/>
        <v>2.126446802019144</v>
      </c>
      <c r="G1520" s="3">
        <f t="shared" ca="1" si="144"/>
        <v>1.7762078466547546</v>
      </c>
      <c r="H1520">
        <f t="shared" ca="1" si="142"/>
        <v>1.1971835424688708</v>
      </c>
      <c r="I1520">
        <f t="shared" ca="1" si="143"/>
        <v>-1.5089951867983902</v>
      </c>
    </row>
    <row r="1521" spans="1:9" x14ac:dyDescent="0.3">
      <c r="A1521" s="1">
        <v>42384</v>
      </c>
      <c r="B1521" t="s">
        <v>0</v>
      </c>
      <c r="C1521">
        <v>694.45001200000002</v>
      </c>
      <c r="D1521" s="2">
        <f t="shared" si="139"/>
        <v>-2.836070044557349E-2</v>
      </c>
      <c r="E1521" s="2">
        <f t="shared" ca="1" si="140"/>
        <v>-1.1019476425142536</v>
      </c>
      <c r="F1521">
        <f t="shared" ca="1" si="141"/>
        <v>-1.0860962172710185</v>
      </c>
      <c r="G1521" s="3">
        <f t="shared" ca="1" si="144"/>
        <v>1.7797502855328842</v>
      </c>
      <c r="H1521">
        <f t="shared" ca="1" si="142"/>
        <v>-0.61025202585981031</v>
      </c>
      <c r="I1521">
        <f t="shared" ca="1" si="143"/>
        <v>-0.16586149416528415</v>
      </c>
    </row>
    <row r="1522" spans="1:9" x14ac:dyDescent="0.3">
      <c r="A1522" s="1">
        <v>42388</v>
      </c>
      <c r="B1522" t="s">
        <v>0</v>
      </c>
      <c r="C1522">
        <v>701.78997800000002</v>
      </c>
      <c r="D1522" s="2">
        <f t="shared" si="139"/>
        <v>1.0569466301629214E-2</v>
      </c>
      <c r="E1522" s="2">
        <f t="shared" ca="1" si="140"/>
        <v>-1.5815767815461352</v>
      </c>
      <c r="F1522">
        <f t="shared" ca="1" si="141"/>
        <v>-1.5857067725115024</v>
      </c>
      <c r="G1522" s="3">
        <f t="shared" ca="1" si="144"/>
        <v>1.7760674873442324</v>
      </c>
      <c r="H1522">
        <f t="shared" ca="1" si="142"/>
        <v>-0.89281898565837836</v>
      </c>
      <c r="I1522">
        <f t="shared" ca="1" si="143"/>
        <v>-0.92210487075929948</v>
      </c>
    </row>
    <row r="1523" spans="1:9" x14ac:dyDescent="0.3">
      <c r="A1523" s="1">
        <v>42389</v>
      </c>
      <c r="B1523" t="s">
        <v>0</v>
      </c>
      <c r="C1523">
        <v>698.45001200000002</v>
      </c>
      <c r="D1523" s="2">
        <f t="shared" si="139"/>
        <v>-4.7592101692851534E-3</v>
      </c>
      <c r="E1523" s="2">
        <f t="shared" ca="1" si="140"/>
        <v>3.2693872300605902</v>
      </c>
      <c r="F1523">
        <f t="shared" ca="1" si="141"/>
        <v>3.2838958949965438</v>
      </c>
      <c r="G1523" s="3">
        <f t="shared" ca="1" si="144"/>
        <v>1.775311114234738</v>
      </c>
      <c r="H1523">
        <f t="shared" ca="1" si="142"/>
        <v>1.8497579768783756</v>
      </c>
      <c r="I1523">
        <f t="shared" ca="1" si="143"/>
        <v>-2.3780630811802599</v>
      </c>
    </row>
    <row r="1524" spans="1:9" x14ac:dyDescent="0.3">
      <c r="A1524" s="1">
        <v>42390</v>
      </c>
      <c r="B1524" t="s">
        <v>0</v>
      </c>
      <c r="C1524">
        <v>706.59002699999996</v>
      </c>
      <c r="D1524" s="2">
        <f t="shared" si="139"/>
        <v>1.1654398826182494E-2</v>
      </c>
      <c r="E1524" s="2">
        <f t="shared" ca="1" si="140"/>
        <v>0.18059646009510646</v>
      </c>
      <c r="F1524">
        <f t="shared" ca="1" si="141"/>
        <v>0.17543392032934391</v>
      </c>
      <c r="G1524" s="3">
        <f t="shared" ca="1" si="144"/>
        <v>1.7922525899772894</v>
      </c>
      <c r="H1524">
        <f t="shared" ca="1" si="142"/>
        <v>9.7884595793256424E-2</v>
      </c>
      <c r="I1524">
        <f t="shared" ca="1" si="143"/>
        <v>3.4765724687407973</v>
      </c>
    </row>
    <row r="1525" spans="1:9" x14ac:dyDescent="0.3">
      <c r="A1525" s="1">
        <v>42391</v>
      </c>
      <c r="B1525" t="s">
        <v>0</v>
      </c>
      <c r="C1525">
        <v>725.25</v>
      </c>
      <c r="D1525" s="2">
        <f t="shared" si="139"/>
        <v>2.6408486232427447E-2</v>
      </c>
      <c r="E1525" s="2">
        <f t="shared" ca="1" si="140"/>
        <v>-1.1894640929831566</v>
      </c>
      <c r="F1525">
        <f t="shared" ca="1" si="141"/>
        <v>-1.189975487487489</v>
      </c>
      <c r="G1525" s="3">
        <f t="shared" ca="1" si="144"/>
        <v>1.785964722969192</v>
      </c>
      <c r="H1525">
        <f t="shared" ca="1" si="142"/>
        <v>-0.66629282884666263</v>
      </c>
      <c r="I1525">
        <f t="shared" ca="1" si="143"/>
        <v>-0.34835792170877888</v>
      </c>
    </row>
    <row r="1526" spans="1:9" x14ac:dyDescent="0.3">
      <c r="A1526" s="1">
        <v>42394</v>
      </c>
      <c r="B1526" t="s">
        <v>0</v>
      </c>
      <c r="C1526">
        <v>711.669983</v>
      </c>
      <c r="D1526" s="2">
        <f t="shared" si="139"/>
        <v>-1.872460117200965E-2</v>
      </c>
      <c r="E1526" s="2">
        <f t="shared" ca="1" si="140"/>
        <v>-0.35838538320539071</v>
      </c>
      <c r="F1526">
        <f t="shared" ca="1" si="141"/>
        <v>-0.37351663680027075</v>
      </c>
      <c r="G1526" s="3">
        <f t="shared" ca="1" si="144"/>
        <v>1.7826820987239966</v>
      </c>
      <c r="H1526">
        <f t="shared" ca="1" si="142"/>
        <v>-0.20952509539845915</v>
      </c>
      <c r="I1526">
        <f t="shared" ca="1" si="143"/>
        <v>1.9670723910061629</v>
      </c>
    </row>
    <row r="1527" spans="1:9" x14ac:dyDescent="0.3">
      <c r="A1527" s="1">
        <v>42395</v>
      </c>
      <c r="B1527" t="s">
        <v>0</v>
      </c>
      <c r="C1527">
        <v>713.03997800000002</v>
      </c>
      <c r="D1527" s="2">
        <f t="shared" si="139"/>
        <v>1.9250425516401429E-3</v>
      </c>
      <c r="E1527" s="2">
        <f t="shared" ca="1" si="140"/>
        <v>1.9831569440813577</v>
      </c>
      <c r="F1527">
        <f t="shared" ca="1" si="141"/>
        <v>1.9722954958706049</v>
      </c>
      <c r="G1527" s="3">
        <f t="shared" ca="1" si="144"/>
        <v>1.7767397348065728</v>
      </c>
      <c r="H1527">
        <f t="shared" ca="1" si="142"/>
        <v>1.1100643821000162</v>
      </c>
      <c r="I1527">
        <f t="shared" ca="1" si="143"/>
        <v>-1.3583971341190153</v>
      </c>
    </row>
    <row r="1528" spans="1:9" x14ac:dyDescent="0.3">
      <c r="A1528" s="1">
        <v>42396</v>
      </c>
      <c r="B1528" t="s">
        <v>0</v>
      </c>
      <c r="C1528">
        <v>699.98999000000003</v>
      </c>
      <c r="D1528" s="2">
        <f t="shared" si="139"/>
        <v>-1.8301902281277115E-2</v>
      </c>
      <c r="E1528" s="2">
        <f t="shared" ca="1" si="140"/>
        <v>1.3069212607184788</v>
      </c>
      <c r="F1528">
        <f t="shared" ca="1" si="141"/>
        <v>1.3180070268737571</v>
      </c>
      <c r="G1528" s="3">
        <f t="shared" ca="1" si="144"/>
        <v>1.778915503333323</v>
      </c>
      <c r="H1528">
        <f t="shared" ca="1" si="142"/>
        <v>0.74090479531157161</v>
      </c>
      <c r="I1528">
        <f t="shared" ca="1" si="143"/>
        <v>-0.55243435725745571</v>
      </c>
    </row>
    <row r="1529" spans="1:9" x14ac:dyDescent="0.3">
      <c r="A1529" s="1">
        <v>42397</v>
      </c>
      <c r="B1529" t="s">
        <v>0</v>
      </c>
      <c r="C1529">
        <v>730.96002199999998</v>
      </c>
      <c r="D1529" s="2">
        <f t="shared" si="139"/>
        <v>4.4243535539701E-2</v>
      </c>
      <c r="E1529" s="2">
        <f t="shared" ca="1" si="140"/>
        <v>1.4652771349694642</v>
      </c>
      <c r="F1529">
        <f t="shared" ca="1" si="141"/>
        <v>1.4695354120863748</v>
      </c>
      <c r="G1529" s="3">
        <f t="shared" ca="1" si="144"/>
        <v>1.7764385020918134</v>
      </c>
      <c r="H1529">
        <f t="shared" ca="1" si="142"/>
        <v>0.8272368620450129</v>
      </c>
      <c r="I1529">
        <f t="shared" ca="1" si="143"/>
        <v>-0.7707990502671267</v>
      </c>
    </row>
    <row r="1530" spans="1:9" x14ac:dyDescent="0.3">
      <c r="A1530" s="1">
        <v>42398</v>
      </c>
      <c r="B1530" t="s">
        <v>0</v>
      </c>
      <c r="C1530">
        <v>742.95001200000002</v>
      </c>
      <c r="D1530" s="2">
        <f t="shared" si="139"/>
        <v>1.6403072177865338E-2</v>
      </c>
      <c r="E1530" s="2">
        <f t="shared" ca="1" si="140"/>
        <v>-0.30695422197229405</v>
      </c>
      <c r="F1530">
        <f t="shared" ca="1" si="141"/>
        <v>-0.30874958112599593</v>
      </c>
      <c r="G1530" s="3">
        <f t="shared" ca="1" si="144"/>
        <v>1.7749129361005798</v>
      </c>
      <c r="H1530">
        <f t="shared" ca="1" si="142"/>
        <v>-0.17395195834467672</v>
      </c>
      <c r="I1530">
        <f t="shared" ca="1" si="143"/>
        <v>2.3476269714729892</v>
      </c>
    </row>
    <row r="1531" spans="1:9" x14ac:dyDescent="0.3">
      <c r="A1531" s="1">
        <v>42401</v>
      </c>
      <c r="B1531" t="s">
        <v>0</v>
      </c>
      <c r="C1531">
        <v>752</v>
      </c>
      <c r="D1531" s="2">
        <f t="shared" si="139"/>
        <v>1.2181153312909542E-2</v>
      </c>
      <c r="E1531" s="2">
        <f t="shared" ca="1" si="140"/>
        <v>-0.18384417024256738</v>
      </c>
      <c r="F1531">
        <f t="shared" ca="1" si="141"/>
        <v>-0.21628530296068091</v>
      </c>
      <c r="G1531" s="3">
        <f t="shared" ca="1" si="144"/>
        <v>1.7689712211950623</v>
      </c>
      <c r="H1531">
        <f t="shared" ca="1" si="142"/>
        <v>-0.12226615129135071</v>
      </c>
      <c r="I1531">
        <f t="shared" ca="1" si="143"/>
        <v>3.0591418674193478</v>
      </c>
    </row>
    <row r="1532" spans="1:9" x14ac:dyDescent="0.3">
      <c r="A1532" s="1">
        <v>42402</v>
      </c>
      <c r="B1532" t="s">
        <v>0</v>
      </c>
      <c r="C1532">
        <v>764.65002400000003</v>
      </c>
      <c r="D1532" s="2">
        <f t="shared" si="139"/>
        <v>1.6821840425531955E-2</v>
      </c>
      <c r="E1532" s="2">
        <f t="shared" ca="1" si="140"/>
        <v>0.23800283214313073</v>
      </c>
      <c r="F1532">
        <f t="shared" ca="1" si="141"/>
        <v>0.2241566943215782</v>
      </c>
      <c r="G1532" s="3">
        <f t="shared" ca="1" si="144"/>
        <v>1.7629964030248066</v>
      </c>
      <c r="H1532">
        <f t="shared" ca="1" si="142"/>
        <v>0.12714529305731326</v>
      </c>
      <c r="I1532">
        <f t="shared" ca="1" si="143"/>
        <v>2.985188134027617</v>
      </c>
    </row>
    <row r="1533" spans="1:9" x14ac:dyDescent="0.3">
      <c r="A1533" s="1">
        <v>42403</v>
      </c>
      <c r="B1533" t="s">
        <v>0</v>
      </c>
      <c r="C1533">
        <v>726.95001200000002</v>
      </c>
      <c r="D1533" s="2">
        <f t="shared" si="139"/>
        <v>-4.9303617101566999E-2</v>
      </c>
      <c r="E1533" s="2">
        <f t="shared" ca="1" si="140"/>
        <v>-3.0153603892087837</v>
      </c>
      <c r="F1533">
        <f t="shared" ca="1" si="141"/>
        <v>-3.0279612446125537</v>
      </c>
      <c r="G1533" s="3">
        <f t="shared" ca="1" si="144"/>
        <v>1.7571013939289726</v>
      </c>
      <c r="H1533">
        <f t="shared" ca="1" si="142"/>
        <v>-1.7232706405416198</v>
      </c>
      <c r="I1533">
        <f t="shared" ca="1" si="143"/>
        <v>-2.2160442017966675</v>
      </c>
    </row>
    <row r="1534" spans="1:9" x14ac:dyDescent="0.3">
      <c r="A1534" s="1">
        <v>42404</v>
      </c>
      <c r="B1534" t="s">
        <v>0</v>
      </c>
      <c r="C1534">
        <v>708.01000999999997</v>
      </c>
      <c r="D1534" s="2">
        <f t="shared" si="139"/>
        <v>-2.6054063810924111E-2</v>
      </c>
      <c r="E1534" s="2">
        <f t="shared" ca="1" si="140"/>
        <v>-0.53286381277738515</v>
      </c>
      <c r="F1534">
        <f t="shared" ca="1" si="141"/>
        <v>-0.52863808254554112</v>
      </c>
      <c r="G1534" s="3">
        <f t="shared" ca="1" si="144"/>
        <v>1.7714302246344915</v>
      </c>
      <c r="H1534">
        <f t="shared" ca="1" si="142"/>
        <v>-0.29842444550962643</v>
      </c>
      <c r="I1534">
        <f t="shared" ca="1" si="143"/>
        <v>1.2724734339169246</v>
      </c>
    </row>
    <row r="1535" spans="1:9" x14ac:dyDescent="0.3">
      <c r="A1535" s="1">
        <v>42405</v>
      </c>
      <c r="B1535" t="s">
        <v>0</v>
      </c>
      <c r="C1535">
        <v>683.57000700000003</v>
      </c>
      <c r="D1535" s="2">
        <f t="shared" si="139"/>
        <v>-3.4519290200430833E-2</v>
      </c>
      <c r="E1535" s="2">
        <f t="shared" ca="1" si="140"/>
        <v>0.70997718684092881</v>
      </c>
      <c r="F1535">
        <f t="shared" ca="1" si="141"/>
        <v>0.74844680780987527</v>
      </c>
      <c r="G1535" s="3">
        <f t="shared" ca="1" si="144"/>
        <v>1.7659304724566145</v>
      </c>
      <c r="H1535">
        <f t="shared" ca="1" si="142"/>
        <v>0.42382575049441146</v>
      </c>
      <c r="I1535">
        <f t="shared" ca="1" si="143"/>
        <v>0.57738311718985047</v>
      </c>
    </row>
    <row r="1536" spans="1:9" x14ac:dyDescent="0.3">
      <c r="A1536" s="1">
        <v>42408</v>
      </c>
      <c r="B1536" t="s">
        <v>0</v>
      </c>
      <c r="C1536">
        <v>682.73999000000003</v>
      </c>
      <c r="D1536" s="2">
        <f t="shared" si="139"/>
        <v>-1.2142384708227814E-3</v>
      </c>
      <c r="E1536" s="2">
        <f t="shared" ca="1" si="140"/>
        <v>-0.61649313680594497</v>
      </c>
      <c r="F1536">
        <f t="shared" ca="1" si="141"/>
        <v>-0.5899768979384975</v>
      </c>
      <c r="G1536" s="3">
        <f t="shared" ca="1" si="144"/>
        <v>1.7611162091198951</v>
      </c>
      <c r="H1536">
        <f t="shared" ca="1" si="142"/>
        <v>-0.33500168522855978</v>
      </c>
      <c r="I1536">
        <f t="shared" ca="1" si="143"/>
        <v>1.0553395619463006</v>
      </c>
    </row>
    <row r="1537" spans="1:9" x14ac:dyDescent="0.3">
      <c r="A1537" s="1">
        <v>42409</v>
      </c>
      <c r="B1537" t="s">
        <v>0</v>
      </c>
      <c r="C1537">
        <v>678.10998500000005</v>
      </c>
      <c r="D1537" s="2">
        <f t="shared" si="139"/>
        <v>-6.7815055040206197E-3</v>
      </c>
      <c r="E1537" s="2">
        <f t="shared" ca="1" si="140"/>
        <v>1.6960008327520488</v>
      </c>
      <c r="F1537">
        <f t="shared" ca="1" si="141"/>
        <v>1.7178579247158143</v>
      </c>
      <c r="G1537" s="3">
        <f t="shared" ca="1" si="144"/>
        <v>1.7559013631462961</v>
      </c>
      <c r="H1537">
        <f t="shared" ca="1" si="142"/>
        <v>0.97833395472607076</v>
      </c>
      <c r="I1537">
        <f t="shared" ca="1" si="143"/>
        <v>-1.0821718281022445</v>
      </c>
    </row>
    <row r="1538" spans="1:9" x14ac:dyDescent="0.3">
      <c r="A1538" s="1">
        <v>42410</v>
      </c>
      <c r="B1538" t="s">
        <v>0</v>
      </c>
      <c r="C1538">
        <v>684.11999500000002</v>
      </c>
      <c r="D1538" s="2">
        <f t="shared" si="139"/>
        <v>8.8628837990049145E-3</v>
      </c>
      <c r="E1538" s="2">
        <f t="shared" ca="1" si="140"/>
        <v>0.56025979282023786</v>
      </c>
      <c r="F1538">
        <f t="shared" ca="1" si="141"/>
        <v>0.56303790568251622</v>
      </c>
      <c r="G1538" s="3">
        <f t="shared" ca="1" si="144"/>
        <v>1.7565416300032</v>
      </c>
      <c r="H1538">
        <f t="shared" ca="1" si="142"/>
        <v>0.32053775217470393</v>
      </c>
      <c r="I1538">
        <f t="shared" ca="1" si="143"/>
        <v>1.1485688652488055</v>
      </c>
    </row>
    <row r="1539" spans="1:9" x14ac:dyDescent="0.3">
      <c r="A1539" s="1">
        <v>42411</v>
      </c>
      <c r="B1539" t="s">
        <v>0</v>
      </c>
      <c r="C1539">
        <v>683.10998500000005</v>
      </c>
      <c r="D1539" s="2">
        <f t="shared" si="139"/>
        <v>-1.4763638066154837E-3</v>
      </c>
      <c r="E1539" s="2">
        <f t="shared" ca="1" si="140"/>
        <v>-2.1554275214645147</v>
      </c>
      <c r="F1539">
        <f t="shared" ca="1" si="141"/>
        <v>-2.1538473060342027</v>
      </c>
      <c r="G1539" s="3">
        <f t="shared" ca="1" si="144"/>
        <v>1.7513183263508003</v>
      </c>
      <c r="H1539">
        <f t="shared" ca="1" si="142"/>
        <v>-1.2298434120324355</v>
      </c>
      <c r="I1539">
        <f t="shared" ca="1" si="143"/>
        <v>-1.5345118451634903</v>
      </c>
    </row>
    <row r="1540" spans="1:9" x14ac:dyDescent="0.3">
      <c r="A1540" s="1">
        <v>42412</v>
      </c>
      <c r="B1540" t="s">
        <v>0</v>
      </c>
      <c r="C1540">
        <v>682.40002400000003</v>
      </c>
      <c r="D1540" s="2">
        <f t="shared" ref="D1540:D1603" si="145">(C1540-C1539)/C1539</f>
        <v>-1.0393070158387762E-3</v>
      </c>
      <c r="E1540" s="2">
        <f t="shared" ca="1" si="140"/>
        <v>1.8984090552346884</v>
      </c>
      <c r="F1540">
        <f t="shared" ca="1" si="141"/>
        <v>1.8933303674256687</v>
      </c>
      <c r="G1540" s="3">
        <f t="shared" ca="1" si="144"/>
        <v>1.7558360333635974</v>
      </c>
      <c r="H1540">
        <f t="shared" ca="1" si="142"/>
        <v>1.0783070465860516</v>
      </c>
      <c r="I1540">
        <f t="shared" ca="1" si="143"/>
        <v>-1.2766750564512199</v>
      </c>
    </row>
    <row r="1541" spans="1:9" x14ac:dyDescent="0.3">
      <c r="A1541" s="1">
        <v>42416</v>
      </c>
      <c r="B1541" t="s">
        <v>0</v>
      </c>
      <c r="C1541">
        <v>691</v>
      </c>
      <c r="D1541" s="2">
        <f t="shared" si="145"/>
        <v>1.2602543519253993E-2</v>
      </c>
      <c r="E1541" s="2">
        <f t="shared" ca="1" si="140"/>
        <v>-1.0511976978448809</v>
      </c>
      <c r="F1541">
        <f t="shared" ca="1" si="141"/>
        <v>-1.049968485543626</v>
      </c>
      <c r="G1541" s="3">
        <f t="shared" ca="1" si="144"/>
        <v>1.7578836210986508</v>
      </c>
      <c r="H1541">
        <f t="shared" ca="1" si="142"/>
        <v>-0.59729123870407952</v>
      </c>
      <c r="I1541">
        <f t="shared" ca="1" si="143"/>
        <v>-9.7664366693364826E-2</v>
      </c>
    </row>
    <row r="1542" spans="1:9" x14ac:dyDescent="0.3">
      <c r="A1542" s="1">
        <v>42417</v>
      </c>
      <c r="B1542" t="s">
        <v>0</v>
      </c>
      <c r="C1542">
        <v>708.40002400000003</v>
      </c>
      <c r="D1542" s="2">
        <f t="shared" si="145"/>
        <v>2.5180931982633908E-2</v>
      </c>
      <c r="E1542" s="2">
        <f t="shared" ref="E1542:E1605" ca="1" si="146">$N$9*D1541+$N$10*D1540+F1542</f>
        <v>0.89978551148478392</v>
      </c>
      <c r="F1542">
        <f t="shared" ref="F1542:F1605" ca="1" si="147">G1542*H1542</f>
        <v>0.89667504159086842</v>
      </c>
      <c r="G1542" s="3">
        <f t="shared" ca="1" si="144"/>
        <v>1.7543847446722194</v>
      </c>
      <c r="H1542">
        <f t="shared" ref="H1542:H1605" ca="1" si="148">_xlfn.NORM.S.INV(RAND())</f>
        <v>0.51110512919923889</v>
      </c>
      <c r="I1542">
        <f t="shared" ref="I1542:I1605" ca="1" si="149">-LN(F1542^2)-(D1542^2)/(F1542^2)</f>
        <v>0.2173348798083776</v>
      </c>
    </row>
    <row r="1543" spans="1:9" x14ac:dyDescent="0.3">
      <c r="A1543" s="1">
        <v>42418</v>
      </c>
      <c r="B1543" t="s">
        <v>0</v>
      </c>
      <c r="C1543">
        <v>697.34997599999997</v>
      </c>
      <c r="D1543" s="2">
        <f t="shared" si="145"/>
        <v>-1.5598599132740939E-2</v>
      </c>
      <c r="E1543" s="2">
        <f t="shared" ca="1" si="146"/>
        <v>-3.8777012441861176</v>
      </c>
      <c r="F1543">
        <f t="shared" ca="1" si="147"/>
        <v>-3.8930568900966263</v>
      </c>
      <c r="G1543" s="3">
        <f t="shared" ref="G1543:G1606" ca="1" si="150">SQRT($N$6+$N$7*(H1542^2)+$N$8*(G1542^2))</f>
        <v>1.750276686093144</v>
      </c>
      <c r="H1543">
        <f t="shared" ca="1" si="148"/>
        <v>-2.224252268814972</v>
      </c>
      <c r="I1543">
        <f t="shared" ca="1" si="149"/>
        <v>-2.7184054181479897</v>
      </c>
    </row>
    <row r="1544" spans="1:9" x14ac:dyDescent="0.3">
      <c r="A1544" s="1">
        <v>42419</v>
      </c>
      <c r="B1544" t="s">
        <v>0</v>
      </c>
      <c r="C1544">
        <v>700.90997300000004</v>
      </c>
      <c r="D1544" s="2">
        <f t="shared" si="145"/>
        <v>5.1050363841986662E-3</v>
      </c>
      <c r="E1544" s="2">
        <f t="shared" ca="1" si="146"/>
        <v>3.1777457355161203</v>
      </c>
      <c r="F1544">
        <f t="shared" ca="1" si="147"/>
        <v>3.166716615507748</v>
      </c>
      <c r="G1544" s="3">
        <f t="shared" ca="1" si="150"/>
        <v>1.7781818836789633</v>
      </c>
      <c r="H1544">
        <f t="shared" ca="1" si="148"/>
        <v>1.7808732866831263</v>
      </c>
      <c r="I1544">
        <f t="shared" ca="1" si="149"/>
        <v>-2.3053931651028878</v>
      </c>
    </row>
    <row r="1545" spans="1:9" x14ac:dyDescent="0.3">
      <c r="A1545" s="1">
        <v>42422</v>
      </c>
      <c r="B1545" t="s">
        <v>0</v>
      </c>
      <c r="C1545">
        <v>706.46002199999998</v>
      </c>
      <c r="D1545" s="2">
        <f t="shared" si="145"/>
        <v>7.9183478817470669E-3</v>
      </c>
      <c r="E1545" s="2">
        <f t="shared" ca="1" si="146"/>
        <v>-2.6053739948976031</v>
      </c>
      <c r="F1545">
        <f t="shared" ca="1" si="147"/>
        <v>-2.597182944151279</v>
      </c>
      <c r="G1545" s="3">
        <f t="shared" ca="1" si="150"/>
        <v>1.7933775665886991</v>
      </c>
      <c r="H1545">
        <f t="shared" ca="1" si="148"/>
        <v>-1.4482075568122281</v>
      </c>
      <c r="I1545">
        <f t="shared" ca="1" si="149"/>
        <v>-1.9088640445474345</v>
      </c>
    </row>
    <row r="1546" spans="1:9" x14ac:dyDescent="0.3">
      <c r="A1546" s="1">
        <v>42423</v>
      </c>
      <c r="B1546" t="s">
        <v>0</v>
      </c>
      <c r="C1546">
        <v>695.84997599999997</v>
      </c>
      <c r="D1546" s="2">
        <f t="shared" si="145"/>
        <v>-1.5018607804533363E-2</v>
      </c>
      <c r="E1546" s="2">
        <f t="shared" ca="1" si="146"/>
        <v>-0.61777294935931437</v>
      </c>
      <c r="F1546">
        <f t="shared" ca="1" si="147"/>
        <v>-0.62331281634211777</v>
      </c>
      <c r="G1546" s="3">
        <f t="shared" ca="1" si="150"/>
        <v>1.801062167278892</v>
      </c>
      <c r="H1546">
        <f t="shared" ca="1" si="148"/>
        <v>-0.34608067820548399</v>
      </c>
      <c r="I1546">
        <f t="shared" ca="1" si="149"/>
        <v>0.94483298643266123</v>
      </c>
    </row>
    <row r="1547" spans="1:9" x14ac:dyDescent="0.3">
      <c r="A1547" s="1">
        <v>42424</v>
      </c>
      <c r="B1547" t="s">
        <v>0</v>
      </c>
      <c r="C1547">
        <v>699.55999799999995</v>
      </c>
      <c r="D1547" s="2">
        <f t="shared" si="145"/>
        <v>5.3316406236392265E-3</v>
      </c>
      <c r="E1547" s="2">
        <f t="shared" ca="1" si="146"/>
        <v>1.213976629252878</v>
      </c>
      <c r="F1547">
        <f t="shared" ca="1" si="147"/>
        <v>1.213523929988207</v>
      </c>
      <c r="G1547" s="3">
        <f t="shared" ca="1" si="150"/>
        <v>1.7954081177501919</v>
      </c>
      <c r="H1547">
        <f t="shared" ca="1" si="148"/>
        <v>0.67590422366412251</v>
      </c>
      <c r="I1547">
        <f t="shared" ca="1" si="149"/>
        <v>-0.38707623460865725</v>
      </c>
    </row>
    <row r="1548" spans="1:9" x14ac:dyDescent="0.3">
      <c r="A1548" s="1">
        <v>42425</v>
      </c>
      <c r="B1548" t="s">
        <v>0</v>
      </c>
      <c r="C1548">
        <v>705.75</v>
      </c>
      <c r="D1548" s="2">
        <f t="shared" si="145"/>
        <v>8.8484218904695718E-3</v>
      </c>
      <c r="E1548" s="2">
        <f t="shared" ca="1" si="146"/>
        <v>1.2599283461163728</v>
      </c>
      <c r="F1548">
        <f t="shared" ca="1" si="147"/>
        <v>1.267690672625035</v>
      </c>
      <c r="G1548" s="3">
        <f t="shared" ca="1" si="150"/>
        <v>1.7920850569049922</v>
      </c>
      <c r="H1548">
        <f t="shared" ca="1" si="148"/>
        <v>0.70738309420111523</v>
      </c>
      <c r="I1548">
        <f t="shared" ca="1" si="149"/>
        <v>-0.47444247419172519</v>
      </c>
    </row>
    <row r="1549" spans="1:9" x14ac:dyDescent="0.3">
      <c r="A1549" s="1">
        <v>42426</v>
      </c>
      <c r="B1549" t="s">
        <v>0</v>
      </c>
      <c r="C1549">
        <v>705.07000700000003</v>
      </c>
      <c r="D1549" s="2">
        <f t="shared" si="145"/>
        <v>-9.6350407368043589E-4</v>
      </c>
      <c r="E1549" s="2">
        <f t="shared" ca="1" si="146"/>
        <v>-0.22389323648647427</v>
      </c>
      <c r="F1549">
        <f t="shared" ca="1" si="147"/>
        <v>-0.22985152510742846</v>
      </c>
      <c r="G1549" s="3">
        <f t="shared" ca="1" si="150"/>
        <v>1.7890993038978449</v>
      </c>
      <c r="H1549">
        <f t="shared" ca="1" si="148"/>
        <v>-0.12847331872896009</v>
      </c>
      <c r="I1549">
        <f t="shared" ca="1" si="149"/>
        <v>2.9406258714040829</v>
      </c>
    </row>
    <row r="1550" spans="1:9" x14ac:dyDescent="0.3">
      <c r="A1550" s="1">
        <v>42429</v>
      </c>
      <c r="B1550" t="s">
        <v>0</v>
      </c>
      <c r="C1550">
        <v>697.77002000000005</v>
      </c>
      <c r="D1550" s="2">
        <f t="shared" si="145"/>
        <v>-1.0353563373175775E-2</v>
      </c>
      <c r="E1550" s="2">
        <f t="shared" ca="1" si="146"/>
        <v>-0.60817537153753276</v>
      </c>
      <c r="F1550">
        <f t="shared" ca="1" si="147"/>
        <v>-0.6133979710120806</v>
      </c>
      <c r="G1550" s="3">
        <f t="shared" ca="1" si="150"/>
        <v>1.7828954082853423</v>
      </c>
      <c r="H1550">
        <f t="shared" ca="1" si="148"/>
        <v>-0.34404596487350969</v>
      </c>
      <c r="I1550">
        <f t="shared" ca="1" si="149"/>
        <v>0.97719776847300566</v>
      </c>
    </row>
    <row r="1551" spans="1:9" x14ac:dyDescent="0.3">
      <c r="A1551" s="1">
        <v>42430</v>
      </c>
      <c r="B1551" t="s">
        <v>0</v>
      </c>
      <c r="C1551">
        <v>718.80999799999995</v>
      </c>
      <c r="D1551" s="2">
        <f t="shared" si="145"/>
        <v>3.0153169951325658E-2</v>
      </c>
      <c r="E1551" s="2">
        <f t="shared" ca="1" si="146"/>
        <v>0.31652224294872017</v>
      </c>
      <c r="F1551">
        <f t="shared" ca="1" si="147"/>
        <v>0.32020928853815545</v>
      </c>
      <c r="G1551" s="3">
        <f t="shared" ca="1" si="150"/>
        <v>1.7774540777145391</v>
      </c>
      <c r="H1551">
        <f t="shared" ca="1" si="148"/>
        <v>0.18015052684223629</v>
      </c>
      <c r="I1551">
        <f t="shared" ca="1" si="149"/>
        <v>2.268693503821257</v>
      </c>
    </row>
    <row r="1552" spans="1:9" x14ac:dyDescent="0.3">
      <c r="A1552" s="1">
        <v>42431</v>
      </c>
      <c r="B1552" t="s">
        <v>0</v>
      </c>
      <c r="C1552">
        <v>718.84997599999997</v>
      </c>
      <c r="D1552" s="2">
        <f t="shared" si="145"/>
        <v>5.561692256820719E-5</v>
      </c>
      <c r="E1552" s="2">
        <f t="shared" ca="1" si="146"/>
        <v>1.2540589248675424</v>
      </c>
      <c r="F1552">
        <f t="shared" ca="1" si="147"/>
        <v>1.2515154213867712</v>
      </c>
      <c r="G1552" s="3">
        <f t="shared" ca="1" si="150"/>
        <v>1.7714968274858844</v>
      </c>
      <c r="H1552">
        <f t="shared" ca="1" si="148"/>
        <v>0.70647341952225051</v>
      </c>
      <c r="I1552">
        <f t="shared" ca="1" si="149"/>
        <v>-0.44871031024768848</v>
      </c>
    </row>
    <row r="1553" spans="1:9" x14ac:dyDescent="0.3">
      <c r="A1553" s="1">
        <v>42432</v>
      </c>
      <c r="B1553" t="s">
        <v>0</v>
      </c>
      <c r="C1553">
        <v>712.419983</v>
      </c>
      <c r="D1553" s="2">
        <f t="shared" si="145"/>
        <v>-8.9448330175641091E-3</v>
      </c>
      <c r="E1553" s="2">
        <f t="shared" ca="1" si="146"/>
        <v>-2.607185163250302</v>
      </c>
      <c r="F1553">
        <f t="shared" ca="1" si="147"/>
        <v>-2.6259780256487595</v>
      </c>
      <c r="G1553" s="3">
        <f t="shared" ca="1" si="150"/>
        <v>1.7687846547416057</v>
      </c>
      <c r="H1553">
        <f t="shared" ca="1" si="148"/>
        <v>-1.484622799394637</v>
      </c>
      <c r="I1553">
        <f t="shared" ca="1" si="149"/>
        <v>-1.9309184184904229</v>
      </c>
    </row>
    <row r="1554" spans="1:9" x14ac:dyDescent="0.3">
      <c r="A1554" s="1">
        <v>42433</v>
      </c>
      <c r="B1554" t="s">
        <v>0</v>
      </c>
      <c r="C1554">
        <v>710.89001499999995</v>
      </c>
      <c r="D1554" s="2">
        <f t="shared" si="145"/>
        <v>-2.1475646900826102E-3</v>
      </c>
      <c r="E1554" s="2">
        <f t="shared" ca="1" si="146"/>
        <v>2.1681367361484591</v>
      </c>
      <c r="F1554">
        <f t="shared" ca="1" si="147"/>
        <v>2.1707691437518513</v>
      </c>
      <c r="G1554" s="3">
        <f t="shared" ca="1" si="150"/>
        <v>1.7776747085214146</v>
      </c>
      <c r="H1554">
        <f t="shared" ca="1" si="148"/>
        <v>1.2211284400605518</v>
      </c>
      <c r="I1554">
        <f t="shared" ca="1" si="149"/>
        <v>-1.5501640764895805</v>
      </c>
    </row>
    <row r="1555" spans="1:9" x14ac:dyDescent="0.3">
      <c r="A1555" s="1">
        <v>42436</v>
      </c>
      <c r="B1555" t="s">
        <v>0</v>
      </c>
      <c r="C1555">
        <v>695.15997300000004</v>
      </c>
      <c r="D1555" s="2">
        <f t="shared" si="145"/>
        <v>-2.2127251287950518E-2</v>
      </c>
      <c r="E1555" s="2">
        <f t="shared" ca="1" si="146"/>
        <v>-0.74098341565212955</v>
      </c>
      <c r="F1555">
        <f t="shared" ca="1" si="147"/>
        <v>-0.7347731680985593</v>
      </c>
      <c r="G1555" s="3">
        <f t="shared" ca="1" si="150"/>
        <v>1.7815825378348147</v>
      </c>
      <c r="H1555">
        <f t="shared" ca="1" si="148"/>
        <v>-0.41242723954374894</v>
      </c>
      <c r="I1555">
        <f t="shared" ca="1" si="149"/>
        <v>0.61548000752572984</v>
      </c>
    </row>
    <row r="1556" spans="1:9" x14ac:dyDescent="0.3">
      <c r="A1556" s="1">
        <v>42437</v>
      </c>
      <c r="B1556" t="s">
        <v>0</v>
      </c>
      <c r="C1556">
        <v>693.96997099999999</v>
      </c>
      <c r="D1556" s="2">
        <f t="shared" si="145"/>
        <v>-1.7118390675811385E-3</v>
      </c>
      <c r="E1556" s="2">
        <f t="shared" ca="1" si="146"/>
        <v>0.84134714540626765</v>
      </c>
      <c r="F1556">
        <f t="shared" ca="1" si="147"/>
        <v>0.84928200847554491</v>
      </c>
      <c r="G1556" s="3">
        <f t="shared" ca="1" si="150"/>
        <v>1.7765073167940726</v>
      </c>
      <c r="H1556">
        <f t="shared" ca="1" si="148"/>
        <v>0.47806276982195572</v>
      </c>
      <c r="I1556">
        <f t="shared" ca="1" si="149"/>
        <v>0.32672390196306866</v>
      </c>
    </row>
    <row r="1557" spans="1:9" x14ac:dyDescent="0.3">
      <c r="A1557" s="1">
        <v>42438</v>
      </c>
      <c r="B1557" t="s">
        <v>0</v>
      </c>
      <c r="C1557">
        <v>705.23999000000003</v>
      </c>
      <c r="D1557" s="2">
        <f t="shared" si="145"/>
        <v>1.6239923153677852E-2</v>
      </c>
      <c r="E1557" s="2">
        <f t="shared" ca="1" si="146"/>
        <v>3.8182540682104094</v>
      </c>
      <c r="F1557">
        <f t="shared" ca="1" si="147"/>
        <v>3.8325430457666108</v>
      </c>
      <c r="G1557" s="3">
        <f t="shared" ca="1" si="150"/>
        <v>1.7718919630468266</v>
      </c>
      <c r="H1557">
        <f t="shared" ca="1" si="148"/>
        <v>2.1629665497079329</v>
      </c>
      <c r="I1557">
        <f t="shared" ca="1" si="149"/>
        <v>-2.687075082294978</v>
      </c>
    </row>
    <row r="1558" spans="1:9" x14ac:dyDescent="0.3">
      <c r="A1558" s="1">
        <v>42439</v>
      </c>
      <c r="B1558" t="s">
        <v>0</v>
      </c>
      <c r="C1558">
        <v>712.82000700000003</v>
      </c>
      <c r="D1558" s="2">
        <f t="shared" si="145"/>
        <v>1.0748138374853073E-2</v>
      </c>
      <c r="E1558" s="2">
        <f t="shared" ca="1" si="146"/>
        <v>1.4291778232068479</v>
      </c>
      <c r="F1558">
        <f t="shared" ca="1" si="147"/>
        <v>1.4254015958994781</v>
      </c>
      <c r="G1558" s="3">
        <f t="shared" ca="1" si="150"/>
        <v>1.7973415512748387</v>
      </c>
      <c r="H1558">
        <f t="shared" ca="1" si="148"/>
        <v>0.79306106003527999</v>
      </c>
      <c r="I1558">
        <f t="shared" ca="1" si="149"/>
        <v>-0.70896404945765235</v>
      </c>
    </row>
    <row r="1559" spans="1:9" x14ac:dyDescent="0.3">
      <c r="A1559" s="1">
        <v>42440</v>
      </c>
      <c r="B1559" t="s">
        <v>0</v>
      </c>
      <c r="C1559">
        <v>726.82000700000003</v>
      </c>
      <c r="D1559" s="2">
        <f t="shared" si="145"/>
        <v>1.9640301706627041E-2</v>
      </c>
      <c r="E1559" s="2">
        <f t="shared" ca="1" si="146"/>
        <v>-0.7424741424989576</v>
      </c>
      <c r="F1559">
        <f t="shared" ca="1" si="147"/>
        <v>-0.75579141243157988</v>
      </c>
      <c r="G1559" s="3">
        <f t="shared" ca="1" si="150"/>
        <v>1.7951450566732337</v>
      </c>
      <c r="H1559">
        <f t="shared" ca="1" si="148"/>
        <v>-0.42101968842128779</v>
      </c>
      <c r="I1559">
        <f t="shared" ca="1" si="149"/>
        <v>0.55930440746673027</v>
      </c>
    </row>
    <row r="1560" spans="1:9" x14ac:dyDescent="0.3">
      <c r="A1560" s="1">
        <v>42443</v>
      </c>
      <c r="B1560" t="s">
        <v>0</v>
      </c>
      <c r="C1560">
        <v>730.48999000000003</v>
      </c>
      <c r="D1560" s="2">
        <f t="shared" si="145"/>
        <v>5.0493698091059868E-3</v>
      </c>
      <c r="E1560" s="2">
        <f t="shared" ca="1" si="146"/>
        <v>-2.5046112236984466</v>
      </c>
      <c r="F1560">
        <f t="shared" ca="1" si="147"/>
        <v>-2.5171601131820944</v>
      </c>
      <c r="G1560" s="3">
        <f t="shared" ca="1" si="150"/>
        <v>1.7899492295723178</v>
      </c>
      <c r="H1560">
        <f t="shared" ca="1" si="148"/>
        <v>-1.4062745867845274</v>
      </c>
      <c r="I1560">
        <f t="shared" ca="1" si="149"/>
        <v>-1.8462666776237444</v>
      </c>
    </row>
    <row r="1561" spans="1:9" x14ac:dyDescent="0.3">
      <c r="A1561" s="1">
        <v>42444</v>
      </c>
      <c r="B1561" t="s">
        <v>0</v>
      </c>
      <c r="C1561">
        <v>728.330017</v>
      </c>
      <c r="D1561" s="2">
        <f t="shared" si="145"/>
        <v>-2.9568824071087357E-3</v>
      </c>
      <c r="E1561" s="2">
        <f t="shared" ca="1" si="146"/>
        <v>1.6008077285290683</v>
      </c>
      <c r="F1561">
        <f t="shared" ca="1" si="147"/>
        <v>1.5870722299406059</v>
      </c>
      <c r="G1561" s="3">
        <f t="shared" ca="1" si="150"/>
        <v>1.7969003065543758</v>
      </c>
      <c r="H1561">
        <f t="shared" ca="1" si="148"/>
        <v>0.88322775846361612</v>
      </c>
      <c r="I1561">
        <f t="shared" ca="1" si="149"/>
        <v>-0.92378537919813564</v>
      </c>
    </row>
    <row r="1562" spans="1:9" x14ac:dyDescent="0.3">
      <c r="A1562" s="1">
        <v>42445</v>
      </c>
      <c r="B1562" t="s">
        <v>0</v>
      </c>
      <c r="C1562">
        <v>736.09002699999996</v>
      </c>
      <c r="D1562" s="2">
        <f t="shared" si="145"/>
        <v>1.0654524485978952E-2</v>
      </c>
      <c r="E1562" s="2">
        <f t="shared" ca="1" si="146"/>
        <v>1.5319969926151</v>
      </c>
      <c r="F1562">
        <f t="shared" ca="1" si="147"/>
        <v>1.5297344068550411</v>
      </c>
      <c r="G1562" s="3">
        <f t="shared" ca="1" si="150"/>
        <v>1.7957219102140276</v>
      </c>
      <c r="H1562">
        <f t="shared" ca="1" si="148"/>
        <v>0.85187711869746907</v>
      </c>
      <c r="I1562">
        <f t="shared" ca="1" si="149"/>
        <v>-0.85023677062601688</v>
      </c>
    </row>
    <row r="1563" spans="1:9" x14ac:dyDescent="0.3">
      <c r="A1563" s="1">
        <v>42446</v>
      </c>
      <c r="B1563" t="s">
        <v>0</v>
      </c>
      <c r="C1563">
        <v>737.78002900000001</v>
      </c>
      <c r="D1563" s="2">
        <f t="shared" si="145"/>
        <v>2.2959175345545735E-3</v>
      </c>
      <c r="E1563" s="2">
        <f t="shared" ca="1" si="146"/>
        <v>0.14996149890490112</v>
      </c>
      <c r="F1563">
        <f t="shared" ca="1" si="147"/>
        <v>0.14862592882801759</v>
      </c>
      <c r="G1563" s="3">
        <f t="shared" ca="1" si="150"/>
        <v>1.7941964292077108</v>
      </c>
      <c r="H1563">
        <f t="shared" ca="1" si="148"/>
        <v>8.2837044154439918E-2</v>
      </c>
      <c r="I1563">
        <f t="shared" ca="1" si="149"/>
        <v>3.8124067199325218</v>
      </c>
    </row>
    <row r="1564" spans="1:9" x14ac:dyDescent="0.3">
      <c r="A1564" s="1">
        <v>42447</v>
      </c>
      <c r="B1564" t="s">
        <v>0</v>
      </c>
      <c r="C1564">
        <v>737.59997599999997</v>
      </c>
      <c r="D1564" s="2">
        <f t="shared" si="145"/>
        <v>-2.4404699628978915E-4</v>
      </c>
      <c r="E1564" s="2">
        <f t="shared" ca="1" si="146"/>
        <v>-0.70640720604524676</v>
      </c>
      <c r="F1564">
        <f t="shared" ca="1" si="147"/>
        <v>-0.71372630652153535</v>
      </c>
      <c r="G1564" s="3">
        <f t="shared" ca="1" si="150"/>
        <v>1.7878673133879253</v>
      </c>
      <c r="H1564">
        <f t="shared" ca="1" si="148"/>
        <v>-0.3992054114849593</v>
      </c>
      <c r="I1564">
        <f t="shared" ca="1" si="149"/>
        <v>0.67451131174059042</v>
      </c>
    </row>
    <row r="1565" spans="1:9" x14ac:dyDescent="0.3">
      <c r="A1565" s="1">
        <v>42450</v>
      </c>
      <c r="B1565" t="s">
        <v>0</v>
      </c>
      <c r="C1565">
        <v>742.09002699999996</v>
      </c>
      <c r="D1565" s="2">
        <f t="shared" si="145"/>
        <v>6.0873795364657039E-3</v>
      </c>
      <c r="E1565" s="2">
        <f t="shared" ca="1" si="146"/>
        <v>0.97509689661875687</v>
      </c>
      <c r="F1565">
        <f t="shared" ca="1" si="147"/>
        <v>0.97374000273193673</v>
      </c>
      <c r="G1565" s="3">
        <f t="shared" ca="1" si="150"/>
        <v>1.7826414522672707</v>
      </c>
      <c r="H1565">
        <f t="shared" ca="1" si="148"/>
        <v>0.5462343543585142</v>
      </c>
      <c r="I1565">
        <f t="shared" ca="1" si="149"/>
        <v>5.3182815425302121E-2</v>
      </c>
    </row>
    <row r="1566" spans="1:9" x14ac:dyDescent="0.3">
      <c r="A1566" s="1">
        <v>42451</v>
      </c>
      <c r="B1566" t="s">
        <v>0</v>
      </c>
      <c r="C1566">
        <v>740.75</v>
      </c>
      <c r="D1566" s="2">
        <f t="shared" si="145"/>
        <v>-1.8057472156272E-3</v>
      </c>
      <c r="E1566" s="2">
        <f t="shared" ca="1" si="146"/>
        <v>1.3645248377889465</v>
      </c>
      <c r="F1566">
        <f t="shared" ca="1" si="147"/>
        <v>1.3628617588462801</v>
      </c>
      <c r="G1566" s="3">
        <f t="shared" ca="1" si="150"/>
        <v>1.7784201236593589</v>
      </c>
      <c r="H1566">
        <f t="shared" ca="1" si="148"/>
        <v>0.76633284830470383</v>
      </c>
      <c r="I1566">
        <f t="shared" ca="1" si="149"/>
        <v>-0.61917520232479417</v>
      </c>
    </row>
    <row r="1567" spans="1:9" x14ac:dyDescent="0.3">
      <c r="A1567" s="1">
        <v>42452</v>
      </c>
      <c r="B1567" t="s">
        <v>0</v>
      </c>
      <c r="C1567">
        <v>738.05999799999995</v>
      </c>
      <c r="D1567" s="2">
        <f t="shared" si="145"/>
        <v>-3.6314573067837319E-3</v>
      </c>
      <c r="E1567" s="2">
        <f t="shared" ca="1" si="146"/>
        <v>1.976305475580082</v>
      </c>
      <c r="F1567">
        <f t="shared" ca="1" si="147"/>
        <v>1.9730532958590918</v>
      </c>
      <c r="G1567" s="3">
        <f t="shared" ca="1" si="150"/>
        <v>1.7762093651683624</v>
      </c>
      <c r="H1567">
        <f t="shared" ca="1" si="148"/>
        <v>1.1108224821639037</v>
      </c>
      <c r="I1567">
        <f t="shared" ca="1" si="149"/>
        <v>-1.3591678660891704</v>
      </c>
    </row>
    <row r="1568" spans="1:9" x14ac:dyDescent="0.3">
      <c r="A1568" s="1">
        <v>42453</v>
      </c>
      <c r="B1568" t="s">
        <v>0</v>
      </c>
      <c r="C1568">
        <v>735.29998799999998</v>
      </c>
      <c r="D1568" s="2">
        <f t="shared" si="145"/>
        <v>-3.7395469304379856E-3</v>
      </c>
      <c r="E1568" s="2">
        <f t="shared" ca="1" si="146"/>
        <v>2.4804725168896442</v>
      </c>
      <c r="F1568">
        <f t="shared" ca="1" si="147"/>
        <v>2.4826797247854677</v>
      </c>
      <c r="G1568" s="3">
        <f t="shared" ca="1" si="150"/>
        <v>1.778405259999249</v>
      </c>
      <c r="H1568">
        <f t="shared" ca="1" si="148"/>
        <v>1.3960146096208217</v>
      </c>
      <c r="I1568">
        <f t="shared" ca="1" si="149"/>
        <v>-1.8186792908173204</v>
      </c>
    </row>
    <row r="1569" spans="1:9" x14ac:dyDescent="0.3">
      <c r="A1569" s="1">
        <v>42457</v>
      </c>
      <c r="B1569" t="s">
        <v>0</v>
      </c>
      <c r="C1569">
        <v>733.53002900000001</v>
      </c>
      <c r="D1569" s="2">
        <f t="shared" si="145"/>
        <v>-2.4071250222840635E-3</v>
      </c>
      <c r="E1569" s="2">
        <f t="shared" ca="1" si="146"/>
        <v>1.7134937241445185</v>
      </c>
      <c r="F1569">
        <f t="shared" ca="1" si="147"/>
        <v>1.7168700242753412</v>
      </c>
      <c r="G1569" s="3">
        <f t="shared" ca="1" si="150"/>
        <v>1.7853840936948062</v>
      </c>
      <c r="H1569">
        <f t="shared" ca="1" si="148"/>
        <v>0.96162502530327976</v>
      </c>
      <c r="I1569">
        <f t="shared" ca="1" si="149"/>
        <v>-1.0810077251926962</v>
      </c>
    </row>
    <row r="1570" spans="1:9" x14ac:dyDescent="0.3">
      <c r="A1570" s="1">
        <v>42458</v>
      </c>
      <c r="B1570" t="s">
        <v>0</v>
      </c>
      <c r="C1570">
        <v>744.77002000000005</v>
      </c>
      <c r="D1570" s="2">
        <f t="shared" si="145"/>
        <v>1.5323150458234385E-2</v>
      </c>
      <c r="E1570" s="2">
        <f t="shared" ca="1" si="146"/>
        <v>2.6229109725781981</v>
      </c>
      <c r="F1570">
        <f t="shared" ca="1" si="147"/>
        <v>2.6259572975954715</v>
      </c>
      <c r="G1570" s="3">
        <f t="shared" ca="1" si="150"/>
        <v>1.7853487100421552</v>
      </c>
      <c r="H1570">
        <f t="shared" ca="1" si="148"/>
        <v>1.4708371999403231</v>
      </c>
      <c r="I1570">
        <f t="shared" ca="1" si="149"/>
        <v>-1.9309250790108818</v>
      </c>
    </row>
    <row r="1571" spans="1:9" x14ac:dyDescent="0.3">
      <c r="A1571" s="1">
        <v>42459</v>
      </c>
      <c r="B1571" t="s">
        <v>0</v>
      </c>
      <c r="C1571">
        <v>750.53002900000001</v>
      </c>
      <c r="D1571" s="2">
        <f t="shared" si="145"/>
        <v>7.7339431573789285E-3</v>
      </c>
      <c r="E1571" s="2">
        <f t="shared" ca="1" si="146"/>
        <v>1.1014564744670983</v>
      </c>
      <c r="F1571">
        <f t="shared" ca="1" si="147"/>
        <v>1.0983865493623171</v>
      </c>
      <c r="G1571" s="3">
        <f t="shared" ca="1" si="150"/>
        <v>1.7936328828510193</v>
      </c>
      <c r="H1571">
        <f t="shared" ca="1" si="148"/>
        <v>0.61238091688886032</v>
      </c>
      <c r="I1571">
        <f t="shared" ca="1" si="149"/>
        <v>-0.18773423775422304</v>
      </c>
    </row>
    <row r="1572" spans="1:9" x14ac:dyDescent="0.3">
      <c r="A1572" s="1">
        <v>42460</v>
      </c>
      <c r="B1572" t="s">
        <v>0</v>
      </c>
      <c r="C1572">
        <v>744.95001200000002</v>
      </c>
      <c r="D1572" s="2">
        <f t="shared" si="145"/>
        <v>-7.4347684761324829E-3</v>
      </c>
      <c r="E1572" s="2">
        <f t="shared" ca="1" si="146"/>
        <v>-0.82351238804946936</v>
      </c>
      <c r="F1572">
        <f t="shared" ca="1" si="147"/>
        <v>-0.83536005780713629</v>
      </c>
      <c r="G1572" s="3">
        <f t="shared" ca="1" si="150"/>
        <v>1.7897842766449228</v>
      </c>
      <c r="H1572">
        <f t="shared" ca="1" si="148"/>
        <v>-0.4667378458442365</v>
      </c>
      <c r="I1572">
        <f t="shared" ca="1" si="149"/>
        <v>0.35970566887634547</v>
      </c>
    </row>
    <row r="1573" spans="1:9" x14ac:dyDescent="0.3">
      <c r="A1573" s="1">
        <v>42461</v>
      </c>
      <c r="B1573" t="s">
        <v>0</v>
      </c>
      <c r="C1573">
        <v>749.90997300000004</v>
      </c>
      <c r="D1573" s="2">
        <f t="shared" si="145"/>
        <v>6.6581125177564548E-3</v>
      </c>
      <c r="E1573" s="2">
        <f t="shared" ca="1" si="146"/>
        <v>1.4442881497473676</v>
      </c>
      <c r="F1573">
        <f t="shared" ca="1" si="147"/>
        <v>1.4416890399011191</v>
      </c>
      <c r="G1573" s="3">
        <f t="shared" ca="1" si="150"/>
        <v>1.7849284588270771</v>
      </c>
      <c r="H1573">
        <f t="shared" ca="1" si="148"/>
        <v>0.80770130184852929</v>
      </c>
      <c r="I1573">
        <f t="shared" ca="1" si="149"/>
        <v>-0.73165206964251983</v>
      </c>
    </row>
    <row r="1574" spans="1:9" x14ac:dyDescent="0.3">
      <c r="A1574" s="1">
        <v>42464</v>
      </c>
      <c r="B1574" t="s">
        <v>0</v>
      </c>
      <c r="C1574">
        <v>745.28997800000002</v>
      </c>
      <c r="D1574" s="2">
        <f t="shared" si="145"/>
        <v>-6.1607328430609053E-3</v>
      </c>
      <c r="E1574" s="2">
        <f t="shared" ca="1" si="146"/>
        <v>-1.2833539466232038</v>
      </c>
      <c r="F1574">
        <f t="shared" ca="1" si="147"/>
        <v>-1.280709559897014</v>
      </c>
      <c r="G1574" s="3">
        <f t="shared" ca="1" si="150"/>
        <v>1.7830652897231056</v>
      </c>
      <c r="H1574">
        <f t="shared" ca="1" si="148"/>
        <v>-0.71826285177470806</v>
      </c>
      <c r="I1574">
        <f t="shared" ca="1" si="149"/>
        <v>-0.4948516760238228</v>
      </c>
    </row>
    <row r="1575" spans="1:9" x14ac:dyDescent="0.3">
      <c r="A1575" s="1">
        <v>42465</v>
      </c>
      <c r="B1575" t="s">
        <v>0</v>
      </c>
      <c r="C1575">
        <v>737.79998799999998</v>
      </c>
      <c r="D1575" s="2">
        <f t="shared" si="145"/>
        <v>-1.0049766159608862E-2</v>
      </c>
      <c r="E1575" s="2">
        <f t="shared" ca="1" si="146"/>
        <v>-0.81790839976160445</v>
      </c>
      <c r="F1575">
        <f t="shared" ca="1" si="147"/>
        <v>-0.82021746681708607</v>
      </c>
      <c r="G1575" s="3">
        <f t="shared" ca="1" si="150"/>
        <v>1.78030758458063</v>
      </c>
      <c r="H1575">
        <f t="shared" ca="1" si="148"/>
        <v>-0.46071671767342204</v>
      </c>
      <c r="I1575">
        <f t="shared" ca="1" si="149"/>
        <v>0.39622141559788032</v>
      </c>
    </row>
    <row r="1576" spans="1:9" x14ac:dyDescent="0.3">
      <c r="A1576" s="1">
        <v>42466</v>
      </c>
      <c r="B1576" t="s">
        <v>0</v>
      </c>
      <c r="C1576">
        <v>745.69000200000005</v>
      </c>
      <c r="D1576" s="2">
        <f t="shared" si="145"/>
        <v>1.0693974150620431E-2</v>
      </c>
      <c r="E1576" s="2">
        <f t="shared" ca="1" si="146"/>
        <v>1.8057247224783013</v>
      </c>
      <c r="F1576">
        <f t="shared" ca="1" si="147"/>
        <v>1.8125574834296594</v>
      </c>
      <c r="G1576" s="3">
        <f t="shared" ca="1" si="150"/>
        <v>1.7755336998162843</v>
      </c>
      <c r="H1576">
        <f t="shared" ca="1" si="148"/>
        <v>1.0208521998862685</v>
      </c>
      <c r="I1576">
        <f t="shared" ca="1" si="149"/>
        <v>-1.1895124537302417</v>
      </c>
    </row>
    <row r="1577" spans="1:9" x14ac:dyDescent="0.3">
      <c r="A1577" s="1">
        <v>42467</v>
      </c>
      <c r="B1577" t="s">
        <v>0</v>
      </c>
      <c r="C1577">
        <v>740.28002900000001</v>
      </c>
      <c r="D1577" s="2">
        <f t="shared" si="145"/>
        <v>-7.2549893192748426E-3</v>
      </c>
      <c r="E1577" s="2">
        <f t="shared" ca="1" si="146"/>
        <v>1.6444894293335686</v>
      </c>
      <c r="F1577">
        <f t="shared" ca="1" si="147"/>
        <v>1.6475588120199838</v>
      </c>
      <c r="G1577" s="3">
        <f t="shared" ca="1" si="150"/>
        <v>1.7764436805821189</v>
      </c>
      <c r="H1577">
        <f t="shared" ca="1" si="148"/>
        <v>0.92744781612220817</v>
      </c>
      <c r="I1577">
        <f t="shared" ca="1" si="149"/>
        <v>-0.99860875960695683</v>
      </c>
    </row>
    <row r="1578" spans="1:9" x14ac:dyDescent="0.3">
      <c r="A1578" s="1">
        <v>42468</v>
      </c>
      <c r="B1578" t="s">
        <v>0</v>
      </c>
      <c r="C1578">
        <v>739.15002400000003</v>
      </c>
      <c r="D1578" s="2">
        <f t="shared" si="145"/>
        <v>-1.5264561459620071E-3</v>
      </c>
      <c r="E1578" s="2">
        <f t="shared" ca="1" si="146"/>
        <v>1.1026740385660686E-2</v>
      </c>
      <c r="F1578">
        <f t="shared" ca="1" si="147"/>
        <v>6.5308250832876776E-3</v>
      </c>
      <c r="G1578" s="3">
        <f t="shared" ca="1" si="150"/>
        <v>1.7761083022012978</v>
      </c>
      <c r="H1578">
        <f t="shared" ca="1" si="148"/>
        <v>3.6770421461311863E-3</v>
      </c>
      <c r="I1578">
        <f t="shared" ca="1" si="149"/>
        <v>10.007813810960471</v>
      </c>
    </row>
    <row r="1579" spans="1:9" x14ac:dyDescent="0.3">
      <c r="A1579" s="1">
        <v>42471</v>
      </c>
      <c r="B1579" t="s">
        <v>0</v>
      </c>
      <c r="C1579">
        <v>736.09997599999997</v>
      </c>
      <c r="D1579" s="2">
        <f t="shared" si="145"/>
        <v>-4.126426166496425E-3</v>
      </c>
      <c r="E1579" s="2">
        <f t="shared" ca="1" si="146"/>
        <v>-1.7335332313690239</v>
      </c>
      <c r="F1579">
        <f t="shared" ca="1" si="147"/>
        <v>-1.7285604370087206</v>
      </c>
      <c r="G1579" s="3">
        <f t="shared" ca="1" si="150"/>
        <v>1.7699469031898052</v>
      </c>
      <c r="H1579">
        <f t="shared" ca="1" si="148"/>
        <v>-0.976617114272469</v>
      </c>
      <c r="I1579">
        <f t="shared" ca="1" si="149"/>
        <v>-1.0945835882860808</v>
      </c>
    </row>
    <row r="1580" spans="1:9" x14ac:dyDescent="0.3">
      <c r="A1580" s="1">
        <v>42472</v>
      </c>
      <c r="B1580" t="s">
        <v>0</v>
      </c>
      <c r="C1580">
        <v>743.09002699999996</v>
      </c>
      <c r="D1580" s="2">
        <f t="shared" si="145"/>
        <v>9.4960619860147838E-3</v>
      </c>
      <c r="E1580" s="2">
        <f t="shared" ca="1" si="146"/>
        <v>-3.1991741655969324</v>
      </c>
      <c r="F1580">
        <f t="shared" ca="1" si="147"/>
        <v>-3.1969932887197707</v>
      </c>
      <c r="G1580" s="3">
        <f t="shared" ca="1" si="150"/>
        <v>1.770345503678852</v>
      </c>
      <c r="H1580">
        <f t="shared" ca="1" si="148"/>
        <v>-1.8058583943508681</v>
      </c>
      <c r="I1580">
        <f t="shared" ca="1" si="149"/>
        <v>-2.3244303644078546</v>
      </c>
    </row>
    <row r="1581" spans="1:9" x14ac:dyDescent="0.3">
      <c r="A1581" s="1">
        <v>42473</v>
      </c>
      <c r="B1581" t="s">
        <v>0</v>
      </c>
      <c r="C1581">
        <v>751.71997099999999</v>
      </c>
      <c r="D1581" s="2">
        <f t="shared" si="145"/>
        <v>1.161359147133329E-2</v>
      </c>
      <c r="E1581" s="2">
        <f t="shared" ca="1" si="146"/>
        <v>-0.44338251149863905</v>
      </c>
      <c r="F1581">
        <f t="shared" ca="1" si="147"/>
        <v>-0.44364439705704894</v>
      </c>
      <c r="G1581" s="3">
        <f t="shared" ca="1" si="150"/>
        <v>1.78632994492259</v>
      </c>
      <c r="H1581">
        <f t="shared" ca="1" si="148"/>
        <v>-0.24835523712629368</v>
      </c>
      <c r="I1581">
        <f t="shared" ca="1" si="149"/>
        <v>1.6247786177948842</v>
      </c>
    </row>
    <row r="1582" spans="1:9" x14ac:dyDescent="0.3">
      <c r="A1582" s="1">
        <v>42474</v>
      </c>
      <c r="B1582" t="s">
        <v>0</v>
      </c>
      <c r="C1582">
        <v>753.20001200000002</v>
      </c>
      <c r="D1582" s="2">
        <f t="shared" si="145"/>
        <v>1.9688727945210175E-3</v>
      </c>
      <c r="E1582" s="2">
        <f t="shared" ca="1" si="146"/>
        <v>-0.7070586648987115</v>
      </c>
      <c r="F1582">
        <f t="shared" ca="1" si="147"/>
        <v>-0.71643460295619765</v>
      </c>
      <c r="G1582" s="3">
        <f t="shared" ca="1" si="150"/>
        <v>1.7804638816009293</v>
      </c>
      <c r="H1582">
        <f t="shared" ca="1" si="148"/>
        <v>-0.40238648498278173</v>
      </c>
      <c r="I1582">
        <f t="shared" ca="1" si="149"/>
        <v>0.66692906523789708</v>
      </c>
    </row>
    <row r="1583" spans="1:9" x14ac:dyDescent="0.3">
      <c r="A1583" s="1">
        <v>42475</v>
      </c>
      <c r="B1583" t="s">
        <v>0</v>
      </c>
      <c r="C1583">
        <v>759</v>
      </c>
      <c r="D1583" s="2">
        <f t="shared" si="145"/>
        <v>7.7004619059936824E-3</v>
      </c>
      <c r="E1583" s="2">
        <f t="shared" ca="1" si="146"/>
        <v>-0.11577317792996038</v>
      </c>
      <c r="F1583">
        <f t="shared" ca="1" si="147"/>
        <v>-0.12359197281191897</v>
      </c>
      <c r="G1583" s="3">
        <f t="shared" ca="1" si="150"/>
        <v>1.7753472337699425</v>
      </c>
      <c r="H1583">
        <f t="shared" ca="1" si="148"/>
        <v>-6.9615661917286978E-2</v>
      </c>
      <c r="I1583">
        <f t="shared" ca="1" si="149"/>
        <v>4.1776573843171763</v>
      </c>
    </row>
    <row r="1584" spans="1:9" x14ac:dyDescent="0.3">
      <c r="A1584" s="1">
        <v>42478</v>
      </c>
      <c r="B1584" t="s">
        <v>0</v>
      </c>
      <c r="C1584">
        <v>766.60998500000005</v>
      </c>
      <c r="D1584" s="2">
        <f t="shared" si="145"/>
        <v>1.0026330698287287E-2</v>
      </c>
      <c r="E1584" s="2">
        <f t="shared" ca="1" si="146"/>
        <v>-2.2562118678011926</v>
      </c>
      <c r="F1584">
        <f t="shared" ca="1" si="147"/>
        <v>-2.259733890005267</v>
      </c>
      <c r="G1584" s="3">
        <f t="shared" ca="1" si="150"/>
        <v>1.7692276920648173</v>
      </c>
      <c r="H1584">
        <f t="shared" ca="1" si="148"/>
        <v>-1.2772431158185147</v>
      </c>
      <c r="I1584">
        <f t="shared" ca="1" si="149"/>
        <v>-1.6305138036748399</v>
      </c>
    </row>
    <row r="1585" spans="1:9" x14ac:dyDescent="0.3">
      <c r="A1585" s="1">
        <v>42479</v>
      </c>
      <c r="B1585" t="s">
        <v>0</v>
      </c>
      <c r="C1585">
        <v>753.92999299999997</v>
      </c>
      <c r="D1585" s="2">
        <f t="shared" si="145"/>
        <v>-1.654034287069726E-2</v>
      </c>
      <c r="E1585" s="2">
        <f t="shared" ca="1" si="146"/>
        <v>4.5498812027965583</v>
      </c>
      <c r="F1585">
        <f t="shared" ca="1" si="147"/>
        <v>4.5420966452869909</v>
      </c>
      <c r="G1585" s="3">
        <f t="shared" ca="1" si="150"/>
        <v>1.7742332158206344</v>
      </c>
      <c r="H1585">
        <f t="shared" ca="1" si="148"/>
        <v>2.5600335991828103</v>
      </c>
      <c r="I1585">
        <f t="shared" ca="1" si="149"/>
        <v>-3.0267907041830009</v>
      </c>
    </row>
    <row r="1586" spans="1:9" x14ac:dyDescent="0.3">
      <c r="A1586" s="1">
        <v>42480</v>
      </c>
      <c r="B1586" t="s">
        <v>0</v>
      </c>
      <c r="C1586">
        <v>752.669983</v>
      </c>
      <c r="D1586" s="2">
        <f t="shared" si="145"/>
        <v>-1.6712559676611324E-3</v>
      </c>
      <c r="E1586" s="2">
        <f t="shared" ca="1" si="146"/>
        <v>4.3175669340737741</v>
      </c>
      <c r="F1586">
        <f t="shared" ca="1" si="147"/>
        <v>4.3162553296768271</v>
      </c>
      <c r="G1586" s="3">
        <f t="shared" ca="1" si="150"/>
        <v>1.8120954870896739</v>
      </c>
      <c r="H1586">
        <f t="shared" ca="1" si="148"/>
        <v>2.3819138452847057</v>
      </c>
      <c r="I1586">
        <f t="shared" ca="1" si="149"/>
        <v>-2.9247765589535009</v>
      </c>
    </row>
    <row r="1587" spans="1:9" x14ac:dyDescent="0.3">
      <c r="A1587" s="1">
        <v>42481</v>
      </c>
      <c r="B1587" t="s">
        <v>0</v>
      </c>
      <c r="C1587">
        <v>759.14001499999995</v>
      </c>
      <c r="D1587" s="2">
        <f t="shared" si="145"/>
        <v>8.5961073858846129E-3</v>
      </c>
      <c r="E1587" s="2">
        <f t="shared" ca="1" si="146"/>
        <v>-1.035805915871673</v>
      </c>
      <c r="F1587">
        <f t="shared" ca="1" si="147"/>
        <v>-1.0250079882151815</v>
      </c>
      <c r="G1587" s="3">
        <f t="shared" ca="1" si="150"/>
        <v>1.8428895595869736</v>
      </c>
      <c r="H1587">
        <f t="shared" ca="1" si="148"/>
        <v>-0.55619610132519559</v>
      </c>
      <c r="I1587">
        <f t="shared" ca="1" si="149"/>
        <v>-4.9471143265464312E-2</v>
      </c>
    </row>
    <row r="1588" spans="1:9" x14ac:dyDescent="0.3">
      <c r="A1588" s="1">
        <v>42482</v>
      </c>
      <c r="B1588" t="s">
        <v>0</v>
      </c>
      <c r="C1588">
        <v>718.77002000000005</v>
      </c>
      <c r="D1588" s="2">
        <f t="shared" si="145"/>
        <v>-5.3178589196091718E-2</v>
      </c>
      <c r="E1588" s="2">
        <f t="shared" ca="1" si="146"/>
        <v>-2.811635358921782</v>
      </c>
      <c r="F1588">
        <f t="shared" ca="1" si="147"/>
        <v>-2.813157735495496</v>
      </c>
      <c r="G1588" s="3">
        <f t="shared" ca="1" si="150"/>
        <v>1.8379701526195089</v>
      </c>
      <c r="H1588">
        <f t="shared" ca="1" si="148"/>
        <v>-1.5305785741330629</v>
      </c>
      <c r="I1588">
        <f t="shared" ca="1" si="149"/>
        <v>-2.0689725465421422</v>
      </c>
    </row>
    <row r="1589" spans="1:9" x14ac:dyDescent="0.3">
      <c r="A1589" s="1">
        <v>42485</v>
      </c>
      <c r="B1589" t="s">
        <v>0</v>
      </c>
      <c r="C1589">
        <v>723.15002400000003</v>
      </c>
      <c r="D1589" s="2">
        <f t="shared" si="145"/>
        <v>6.0937488739443877E-3</v>
      </c>
      <c r="E1589" s="2">
        <f t="shared" ca="1" si="146"/>
        <v>9.2845813873634678E-2</v>
      </c>
      <c r="F1589">
        <f t="shared" ca="1" si="147"/>
        <v>0.10334906366724643</v>
      </c>
      <c r="G1589" s="3">
        <f t="shared" ca="1" si="150"/>
        <v>1.8463960885577984</v>
      </c>
      <c r="H1589">
        <f t="shared" ca="1" si="148"/>
        <v>5.5973398290705523E-2</v>
      </c>
      <c r="I1589">
        <f t="shared" ca="1" si="149"/>
        <v>4.5358094951340826</v>
      </c>
    </row>
    <row r="1590" spans="1:9" x14ac:dyDescent="0.3">
      <c r="A1590" s="1">
        <v>42486</v>
      </c>
      <c r="B1590" t="s">
        <v>0</v>
      </c>
      <c r="C1590">
        <v>708.14001499999995</v>
      </c>
      <c r="D1590" s="2">
        <f t="shared" si="145"/>
        <v>-2.0756424672399763E-2</v>
      </c>
      <c r="E1590" s="2">
        <f t="shared" ca="1" si="146"/>
        <v>-0.41627084631560674</v>
      </c>
      <c r="F1590">
        <f t="shared" ca="1" si="147"/>
        <v>-0.38497365975187825</v>
      </c>
      <c r="G1590" s="3">
        <f t="shared" ca="1" si="150"/>
        <v>1.8394326388962237</v>
      </c>
      <c r="H1590">
        <f t="shared" ca="1" si="148"/>
        <v>-0.2092893491239162</v>
      </c>
      <c r="I1590">
        <f t="shared" ca="1" si="149"/>
        <v>1.9062537396990387</v>
      </c>
    </row>
    <row r="1591" spans="1:9" x14ac:dyDescent="0.3">
      <c r="A1591" s="1">
        <v>42487</v>
      </c>
      <c r="B1591" t="s">
        <v>0</v>
      </c>
      <c r="C1591">
        <v>705.84002699999996</v>
      </c>
      <c r="D1591" s="2">
        <f t="shared" si="145"/>
        <v>-3.2479283069464519E-3</v>
      </c>
      <c r="E1591" s="2">
        <f t="shared" ca="1" si="146"/>
        <v>2.5259793829652621</v>
      </c>
      <c r="F1591">
        <f t="shared" ca="1" si="147"/>
        <v>2.5283736741716547</v>
      </c>
      <c r="G1591" s="3">
        <f t="shared" ca="1" si="150"/>
        <v>1.8328164882592302</v>
      </c>
      <c r="H1591">
        <f t="shared" ca="1" si="148"/>
        <v>1.3795018161218364</v>
      </c>
      <c r="I1591">
        <f t="shared" ca="1" si="149"/>
        <v>-1.8551542091990254</v>
      </c>
    </row>
    <row r="1592" spans="1:9" x14ac:dyDescent="0.3">
      <c r="A1592" s="1">
        <v>42488</v>
      </c>
      <c r="B1592" t="s">
        <v>0</v>
      </c>
      <c r="C1592">
        <v>691.02002000000005</v>
      </c>
      <c r="D1592" s="2">
        <f t="shared" si="145"/>
        <v>-2.0996268889692648E-2</v>
      </c>
      <c r="E1592" s="2">
        <f t="shared" ca="1" si="146"/>
        <v>-2.3575907491352606</v>
      </c>
      <c r="F1592">
        <f t="shared" ca="1" si="147"/>
        <v>-2.3436973720609044</v>
      </c>
      <c r="G1592" s="3">
        <f t="shared" ca="1" si="150"/>
        <v>1.8384727108206325</v>
      </c>
      <c r="H1592">
        <f t="shared" ca="1" si="148"/>
        <v>-1.2748067231385538</v>
      </c>
      <c r="I1592">
        <f t="shared" ca="1" si="149"/>
        <v>-1.7035397684734399</v>
      </c>
    </row>
    <row r="1593" spans="1:9" x14ac:dyDescent="0.3">
      <c r="A1593" s="1">
        <v>42489</v>
      </c>
      <c r="B1593" t="s">
        <v>0</v>
      </c>
      <c r="C1593">
        <v>693.01000999999997</v>
      </c>
      <c r="D1593" s="2">
        <f t="shared" si="145"/>
        <v>2.879786319360068E-3</v>
      </c>
      <c r="E1593" s="2">
        <f t="shared" ca="1" si="146"/>
        <v>2.6555955879779618</v>
      </c>
      <c r="F1593">
        <f t="shared" ca="1" si="147"/>
        <v>2.6638784239727009</v>
      </c>
      <c r="G1593" s="3">
        <f t="shared" ca="1" si="150"/>
        <v>1.8422134350468793</v>
      </c>
      <c r="H1593">
        <f t="shared" ca="1" si="148"/>
        <v>1.4460205171095784</v>
      </c>
      <c r="I1593">
        <f t="shared" ca="1" si="149"/>
        <v>-1.9595673986492985</v>
      </c>
    </row>
    <row r="1594" spans="1:9" x14ac:dyDescent="0.3">
      <c r="A1594" s="1">
        <v>42492</v>
      </c>
      <c r="B1594" t="s">
        <v>0</v>
      </c>
      <c r="C1594">
        <v>698.21002199999998</v>
      </c>
      <c r="D1594" s="2">
        <f t="shared" si="145"/>
        <v>7.5035164354985513E-3</v>
      </c>
      <c r="E1594" s="2">
        <f t="shared" ca="1" si="146"/>
        <v>-1.6118272471659276</v>
      </c>
      <c r="F1594">
        <f t="shared" ca="1" si="147"/>
        <v>-1.5996115926206729</v>
      </c>
      <c r="G1594" s="3">
        <f t="shared" ca="1" si="150"/>
        <v>1.8489201755980682</v>
      </c>
      <c r="H1594">
        <f t="shared" ca="1" si="148"/>
        <v>-0.86515989913044689</v>
      </c>
      <c r="I1594">
        <f t="shared" ca="1" si="149"/>
        <v>-0.93954369427498874</v>
      </c>
    </row>
    <row r="1595" spans="1:9" x14ac:dyDescent="0.3">
      <c r="A1595" s="1">
        <v>42493</v>
      </c>
      <c r="B1595" t="s">
        <v>0</v>
      </c>
      <c r="C1595">
        <v>692.35998500000005</v>
      </c>
      <c r="D1595" s="2">
        <f t="shared" si="145"/>
        <v>-8.3786207812409901E-3</v>
      </c>
      <c r="E1595" s="2">
        <f t="shared" ca="1" si="146"/>
        <v>0.20721001920715276</v>
      </c>
      <c r="F1595">
        <f t="shared" ca="1" si="147"/>
        <v>0.20317949649223618</v>
      </c>
      <c r="G1595" s="3">
        <f t="shared" ca="1" si="150"/>
        <v>1.8467846801898569</v>
      </c>
      <c r="H1595">
        <f t="shared" ca="1" si="148"/>
        <v>0.11001796726586908</v>
      </c>
      <c r="I1595">
        <f t="shared" ca="1" si="149"/>
        <v>3.1856304089551326</v>
      </c>
    </row>
    <row r="1596" spans="1:9" x14ac:dyDescent="0.3">
      <c r="A1596" s="1">
        <v>42494</v>
      </c>
      <c r="B1596" t="s">
        <v>0</v>
      </c>
      <c r="C1596">
        <v>695.70001200000002</v>
      </c>
      <c r="D1596" s="2">
        <f t="shared" si="145"/>
        <v>4.8241190599713291E-3</v>
      </c>
      <c r="E1596" s="2">
        <f t="shared" ca="1" si="146"/>
        <v>0.41145329404183734</v>
      </c>
      <c r="F1596">
        <f t="shared" ca="1" si="147"/>
        <v>0.40927909429274384</v>
      </c>
      <c r="G1596" s="3">
        <f t="shared" ca="1" si="150"/>
        <v>1.8398753403867256</v>
      </c>
      <c r="H1596">
        <f t="shared" ca="1" si="148"/>
        <v>0.22244936127396381</v>
      </c>
      <c r="I1596">
        <f t="shared" ca="1" si="149"/>
        <v>1.7865770167643167</v>
      </c>
    </row>
    <row r="1597" spans="1:9" x14ac:dyDescent="0.3">
      <c r="A1597" s="1">
        <v>42495</v>
      </c>
      <c r="B1597" t="s">
        <v>0</v>
      </c>
      <c r="C1597">
        <v>701.42999299999997</v>
      </c>
      <c r="D1597" s="2">
        <f t="shared" si="145"/>
        <v>8.2362813010846293E-3</v>
      </c>
      <c r="E1597" s="2">
        <f t="shared" ca="1" si="146"/>
        <v>0.93345035151311462</v>
      </c>
      <c r="F1597">
        <f t="shared" ca="1" si="147"/>
        <v>0.93722930542014682</v>
      </c>
      <c r="G1597" s="3">
        <f t="shared" ca="1" si="150"/>
        <v>1.8332912441034619</v>
      </c>
      <c r="H1597">
        <f t="shared" ca="1" si="148"/>
        <v>0.51122772141885287</v>
      </c>
      <c r="I1597">
        <f t="shared" ca="1" si="149"/>
        <v>0.12957738017352541</v>
      </c>
    </row>
    <row r="1598" spans="1:9" x14ac:dyDescent="0.3">
      <c r="A1598" s="1">
        <v>42496</v>
      </c>
      <c r="B1598" t="s">
        <v>0</v>
      </c>
      <c r="C1598">
        <v>711.11999500000002</v>
      </c>
      <c r="D1598" s="2">
        <f t="shared" si="145"/>
        <v>1.3814638804588514E-2</v>
      </c>
      <c r="E1598" s="2">
        <f t="shared" ca="1" si="146"/>
        <v>-0.79339729038138485</v>
      </c>
      <c r="F1598">
        <f t="shared" ca="1" si="147"/>
        <v>-0.79885702783210721</v>
      </c>
      <c r="G1598" s="3">
        <f t="shared" ca="1" si="150"/>
        <v>1.8281779897869126</v>
      </c>
      <c r="H1598">
        <f t="shared" ca="1" si="148"/>
        <v>-0.43696895613824766</v>
      </c>
      <c r="I1598">
        <f t="shared" ca="1" si="149"/>
        <v>0.44884752818980839</v>
      </c>
    </row>
    <row r="1599" spans="1:9" x14ac:dyDescent="0.3">
      <c r="A1599" s="1">
        <v>42499</v>
      </c>
      <c r="B1599" t="s">
        <v>0</v>
      </c>
      <c r="C1599">
        <v>712.90002400000003</v>
      </c>
      <c r="D1599" s="2">
        <f t="shared" si="145"/>
        <v>2.5031345096688121E-3</v>
      </c>
      <c r="E1599" s="2">
        <f t="shared" ca="1" si="146"/>
        <v>-0.15230942326241087</v>
      </c>
      <c r="F1599">
        <f t="shared" ca="1" si="147"/>
        <v>-0.16155717629536184</v>
      </c>
      <c r="G1599" s="3">
        <f t="shared" ca="1" si="150"/>
        <v>1.8226646559251598</v>
      </c>
      <c r="H1599">
        <f t="shared" ca="1" si="148"/>
        <v>-8.8637904822572874E-2</v>
      </c>
      <c r="I1599">
        <f t="shared" ca="1" si="149"/>
        <v>3.6455522745459383</v>
      </c>
    </row>
    <row r="1600" spans="1:9" x14ac:dyDescent="0.3">
      <c r="A1600" s="1">
        <v>42500</v>
      </c>
      <c r="B1600" t="s">
        <v>0</v>
      </c>
      <c r="C1600">
        <v>723.17999299999997</v>
      </c>
      <c r="D1600" s="2">
        <f t="shared" si="145"/>
        <v>1.4419930781205776E-2</v>
      </c>
      <c r="E1600" s="2">
        <f t="shared" ca="1" si="146"/>
        <v>2.1649731744122676</v>
      </c>
      <c r="F1600">
        <f t="shared" ca="1" si="147"/>
        <v>2.155624496244712</v>
      </c>
      <c r="G1600" s="3">
        <f t="shared" ca="1" si="150"/>
        <v>1.8160079846983874</v>
      </c>
      <c r="H1600">
        <f t="shared" ca="1" si="148"/>
        <v>1.1870126752789196</v>
      </c>
      <c r="I1600">
        <f t="shared" ca="1" si="149"/>
        <v>-1.5362056907010213</v>
      </c>
    </row>
    <row r="1601" spans="1:9" x14ac:dyDescent="0.3">
      <c r="A1601" s="1">
        <v>42501</v>
      </c>
      <c r="B1601" t="s">
        <v>0</v>
      </c>
      <c r="C1601">
        <v>715.28997800000002</v>
      </c>
      <c r="D1601" s="2">
        <f t="shared" si="145"/>
        <v>-1.0910167698734924E-2</v>
      </c>
      <c r="E1601" s="2">
        <f t="shared" ca="1" si="146"/>
        <v>0.95851341114699284</v>
      </c>
      <c r="F1601">
        <f t="shared" ca="1" si="147"/>
        <v>0.95265519253967923</v>
      </c>
      <c r="G1601" s="3">
        <f t="shared" ca="1" si="150"/>
        <v>1.8187119761883239</v>
      </c>
      <c r="H1601">
        <f t="shared" ca="1" si="148"/>
        <v>0.52380762045470453</v>
      </c>
      <c r="I1601">
        <f t="shared" ca="1" si="149"/>
        <v>9.687334993628241E-2</v>
      </c>
    </row>
    <row r="1602" spans="1:9" x14ac:dyDescent="0.3">
      <c r="A1602" s="1">
        <v>42502</v>
      </c>
      <c r="B1602" t="s">
        <v>0</v>
      </c>
      <c r="C1602">
        <v>713.30999799999995</v>
      </c>
      <c r="D1602" s="2">
        <f t="shared" si="145"/>
        <v>-2.7680801645456141E-3</v>
      </c>
      <c r="E1602" s="2">
        <f t="shared" ca="1" si="146"/>
        <v>-2.0367999121227798</v>
      </c>
      <c r="F1602">
        <f t="shared" ca="1" si="147"/>
        <v>-2.0425261204430014</v>
      </c>
      <c r="G1602" s="3">
        <f t="shared" ca="1" si="150"/>
        <v>1.8138682848134364</v>
      </c>
      <c r="H1602">
        <f t="shared" ca="1" si="148"/>
        <v>-1.1260608818975428</v>
      </c>
      <c r="I1602">
        <f t="shared" ca="1" si="149"/>
        <v>-1.4283765089054223</v>
      </c>
    </row>
    <row r="1603" spans="1:9" x14ac:dyDescent="0.3">
      <c r="A1603" s="1">
        <v>42503</v>
      </c>
      <c r="B1603" t="s">
        <v>0</v>
      </c>
      <c r="C1603">
        <v>710.830017</v>
      </c>
      <c r="D1603" s="2">
        <f t="shared" si="145"/>
        <v>-3.4767226128238743E-3</v>
      </c>
      <c r="E1603" s="2">
        <f t="shared" ca="1" si="146"/>
        <v>-0.1244625710767697</v>
      </c>
      <c r="F1603">
        <f t="shared" ca="1" si="147"/>
        <v>-0.11684349983751849</v>
      </c>
      <c r="G1603" s="3">
        <f t="shared" ca="1" si="150"/>
        <v>1.8156751482755134</v>
      </c>
      <c r="H1603">
        <f t="shared" ca="1" si="148"/>
        <v>-6.4352645873075792E-2</v>
      </c>
      <c r="I1603">
        <f t="shared" ca="1" si="149"/>
        <v>4.2929543130392123</v>
      </c>
    </row>
    <row r="1604" spans="1:9" x14ac:dyDescent="0.3">
      <c r="A1604" s="1">
        <v>42506</v>
      </c>
      <c r="B1604" t="s">
        <v>0</v>
      </c>
      <c r="C1604">
        <v>716.48999000000003</v>
      </c>
      <c r="D1604" s="2">
        <f t="shared" ref="D1604:D1667" si="151">(C1604-C1603)/C1603</f>
        <v>7.9624845105549843E-3</v>
      </c>
      <c r="E1604" s="2">
        <f t="shared" ca="1" si="146"/>
        <v>1.1182997109970292</v>
      </c>
      <c r="F1604">
        <f t="shared" ca="1" si="147"/>
        <v>1.1210600239040491</v>
      </c>
      <c r="G1604" s="3">
        <f t="shared" ca="1" si="150"/>
        <v>1.8090755226244948</v>
      </c>
      <c r="H1604">
        <f t="shared" ca="1" si="148"/>
        <v>0.61968669073454963</v>
      </c>
      <c r="I1604">
        <f t="shared" ca="1" si="149"/>
        <v>-0.22859982271905746</v>
      </c>
    </row>
    <row r="1605" spans="1:9" x14ac:dyDescent="0.3">
      <c r="A1605" s="1">
        <v>42507</v>
      </c>
      <c r="B1605" t="s">
        <v>0</v>
      </c>
      <c r="C1605">
        <v>706.22997999999995</v>
      </c>
      <c r="D1605" s="2">
        <f t="shared" si="151"/>
        <v>-1.4319823226002193E-2</v>
      </c>
      <c r="E1605" s="2">
        <f t="shared" ca="1" si="146"/>
        <v>-1.3255999099885714</v>
      </c>
      <c r="F1605">
        <f t="shared" ca="1" si="147"/>
        <v>-1.3258091040007425</v>
      </c>
      <c r="G1605" s="3">
        <f t="shared" ca="1" si="150"/>
        <v>1.8050841911263122</v>
      </c>
      <c r="H1605">
        <f t="shared" ca="1" si="148"/>
        <v>-0.73448602038527733</v>
      </c>
      <c r="I1605">
        <f t="shared" ca="1" si="149"/>
        <v>-0.56416249287492515</v>
      </c>
    </row>
    <row r="1606" spans="1:9" x14ac:dyDescent="0.3">
      <c r="A1606" s="1">
        <v>42508</v>
      </c>
      <c r="B1606" t="s">
        <v>0</v>
      </c>
      <c r="C1606">
        <v>706.63000499999998</v>
      </c>
      <c r="D1606" s="2">
        <f t="shared" si="151"/>
        <v>5.6642313598755448E-4</v>
      </c>
      <c r="E1606" s="2">
        <f t="shared" ref="E1606:E1669" ca="1" si="152">$N$9*D1605+$N$10*D1604+F1606</f>
        <v>-1.0401378725825787</v>
      </c>
      <c r="F1606">
        <f t="shared" ref="F1606:F1669" ca="1" si="153">G1606*H1606</f>
        <v>-1.0408264089919703</v>
      </c>
      <c r="G1606" s="3">
        <f t="shared" ca="1" si="150"/>
        <v>1.8021822647505339</v>
      </c>
      <c r="H1606">
        <f t="shared" ref="H1606:H1669" ca="1" si="154">_xlfn.NORM.S.INV(RAND())</f>
        <v>-0.57753670610893848</v>
      </c>
      <c r="I1606">
        <f t="shared" ref="I1606:I1669" ca="1" si="155">-LN(F1606^2)-(D1606^2)/(F1606^2)</f>
        <v>-8.0030339434283934E-2</v>
      </c>
    </row>
    <row r="1607" spans="1:9" x14ac:dyDescent="0.3">
      <c r="A1607" s="1">
        <v>42509</v>
      </c>
      <c r="B1607" t="s">
        <v>0</v>
      </c>
      <c r="C1607">
        <v>700.32000700000003</v>
      </c>
      <c r="D1607" s="2">
        <f t="shared" si="151"/>
        <v>-8.9297057234357761E-3</v>
      </c>
      <c r="E1607" s="2">
        <f t="shared" ca="1" si="152"/>
        <v>3.0558077465034814</v>
      </c>
      <c r="F1607">
        <f t="shared" ca="1" si="153"/>
        <v>3.064555765334247</v>
      </c>
      <c r="G1607" s="3">
        <f t="shared" ref="G1607:G1670" ca="1" si="156">SQRT($N$6+$N$7*(H1606^2)+$N$8*(G1606^2))</f>
        <v>1.7979441517352517</v>
      </c>
      <c r="H1607">
        <f t="shared" ca="1" si="154"/>
        <v>1.7044777293980735</v>
      </c>
      <c r="I1607">
        <f t="shared" ca="1" si="155"/>
        <v>-2.2398137325825815</v>
      </c>
    </row>
    <row r="1608" spans="1:9" x14ac:dyDescent="0.3">
      <c r="A1608" s="1">
        <v>42510</v>
      </c>
      <c r="B1608" t="s">
        <v>0</v>
      </c>
      <c r="C1608">
        <v>709.73999000000003</v>
      </c>
      <c r="D1608" s="2">
        <f t="shared" si="151"/>
        <v>1.3450969422325817E-2</v>
      </c>
      <c r="E1608" s="2">
        <f t="shared" ca="1" si="152"/>
        <v>-0.50521092097392839</v>
      </c>
      <c r="F1608">
        <f t="shared" ca="1" si="153"/>
        <v>-0.50290110114912157</v>
      </c>
      <c r="G1608" s="3">
        <f t="shared" ca="1" si="156"/>
        <v>1.8109099429796345</v>
      </c>
      <c r="H1608">
        <f t="shared" ca="1" si="154"/>
        <v>-0.27770630069083296</v>
      </c>
      <c r="I1608">
        <f t="shared" ca="1" si="155"/>
        <v>1.3740081038448613</v>
      </c>
    </row>
    <row r="1609" spans="1:9" x14ac:dyDescent="0.3">
      <c r="A1609" s="1">
        <v>42513</v>
      </c>
      <c r="B1609" t="s">
        <v>0</v>
      </c>
      <c r="C1609">
        <v>704.23999000000003</v>
      </c>
      <c r="D1609" s="2">
        <f t="shared" si="151"/>
        <v>-7.7493167603533229E-3</v>
      </c>
      <c r="E1609" s="2">
        <f t="shared" ca="1" si="152"/>
        <v>-0.71347728730756077</v>
      </c>
      <c r="F1609">
        <f t="shared" ca="1" si="153"/>
        <v>-0.71192740326579651</v>
      </c>
      <c r="G1609" s="3">
        <f t="shared" ca="1" si="156"/>
        <v>1.804852134293206</v>
      </c>
      <c r="H1609">
        <f t="shared" ca="1" si="154"/>
        <v>-0.39445192752291186</v>
      </c>
      <c r="I1609">
        <f t="shared" ca="1" si="155"/>
        <v>0.67944018612116852</v>
      </c>
    </row>
    <row r="1610" spans="1:9" x14ac:dyDescent="0.3">
      <c r="A1610" s="1">
        <v>42514</v>
      </c>
      <c r="B1610" t="s">
        <v>0</v>
      </c>
      <c r="C1610">
        <v>720.09002699999996</v>
      </c>
      <c r="D1610" s="2">
        <f t="shared" si="151"/>
        <v>2.250658472263117E-2</v>
      </c>
      <c r="E1610" s="2">
        <f t="shared" ca="1" si="152"/>
        <v>-1.2046621904162802</v>
      </c>
      <c r="F1610">
        <f t="shared" ca="1" si="153"/>
        <v>-1.2107274862107018</v>
      </c>
      <c r="G1610" s="3">
        <f t="shared" ca="1" si="156"/>
        <v>1.7993912044436133</v>
      </c>
      <c r="H1610">
        <f t="shared" ca="1" si="154"/>
        <v>-0.67285395372657097</v>
      </c>
      <c r="I1610">
        <f t="shared" ca="1" si="155"/>
        <v>-0.38278837676153227</v>
      </c>
    </row>
    <row r="1611" spans="1:9" x14ac:dyDescent="0.3">
      <c r="A1611" s="1">
        <v>42515</v>
      </c>
      <c r="B1611" t="s">
        <v>0</v>
      </c>
      <c r="C1611">
        <v>725.27002000000005</v>
      </c>
      <c r="D1611" s="2">
        <f t="shared" si="151"/>
        <v>7.1935352605571939E-3</v>
      </c>
      <c r="E1611" s="2">
        <f t="shared" ca="1" si="152"/>
        <v>-3.2553453192351087</v>
      </c>
      <c r="F1611">
        <f t="shared" ca="1" si="153"/>
        <v>-3.2572305310282235</v>
      </c>
      <c r="G1611" s="3">
        <f t="shared" ca="1" si="156"/>
        <v>1.7959870459211467</v>
      </c>
      <c r="H1611">
        <f t="shared" ca="1" si="154"/>
        <v>-1.8136158266985813</v>
      </c>
      <c r="I1611">
        <f t="shared" ca="1" si="155"/>
        <v>-2.3617594853206216</v>
      </c>
    </row>
    <row r="1612" spans="1:9" x14ac:dyDescent="0.3">
      <c r="A1612" s="1">
        <v>42516</v>
      </c>
      <c r="B1612" t="s">
        <v>0</v>
      </c>
      <c r="C1612">
        <v>724.11999500000002</v>
      </c>
      <c r="D1612" s="2">
        <f t="shared" si="151"/>
        <v>-1.5856508173328712E-3</v>
      </c>
      <c r="E1612" s="2">
        <f t="shared" ca="1" si="152"/>
        <v>-4.5885444797945818E-2</v>
      </c>
      <c r="F1612">
        <f t="shared" ca="1" si="153"/>
        <v>-6.2045084391645869E-2</v>
      </c>
      <c r="G1612" s="3">
        <f t="shared" ca="1" si="156"/>
        <v>1.8115457176258838</v>
      </c>
      <c r="H1612">
        <f t="shared" ca="1" si="154"/>
        <v>-3.4249803241487541E-2</v>
      </c>
      <c r="I1612">
        <f t="shared" ca="1" si="155"/>
        <v>5.5591348500938302</v>
      </c>
    </row>
    <row r="1613" spans="1:9" x14ac:dyDescent="0.3">
      <c r="A1613" s="1">
        <v>42517</v>
      </c>
      <c r="B1613" t="s">
        <v>0</v>
      </c>
      <c r="C1613">
        <v>732.65997300000004</v>
      </c>
      <c r="D1613" s="2">
        <f t="shared" si="151"/>
        <v>1.1793595065690762E-2</v>
      </c>
      <c r="E1613" s="2">
        <f t="shared" ca="1" si="152"/>
        <v>3.4809780030366295</v>
      </c>
      <c r="F1613">
        <f t="shared" ca="1" si="153"/>
        <v>3.4769713986595296</v>
      </c>
      <c r="G1613" s="3">
        <f t="shared" ca="1" si="156"/>
        <v>1.8049746591282447</v>
      </c>
      <c r="H1613">
        <f t="shared" ca="1" si="154"/>
        <v>1.9263269880690821</v>
      </c>
      <c r="I1613">
        <f t="shared" ca="1" si="155"/>
        <v>-2.4923347593436973</v>
      </c>
    </row>
    <row r="1614" spans="1:9" x14ac:dyDescent="0.3">
      <c r="A1614" s="1">
        <v>42521</v>
      </c>
      <c r="B1614" t="s">
        <v>0</v>
      </c>
      <c r="C1614">
        <v>735.71997099999999</v>
      </c>
      <c r="D1614" s="2">
        <f t="shared" si="151"/>
        <v>4.176559540260227E-3</v>
      </c>
      <c r="E1614" s="2">
        <f t="shared" ca="1" si="152"/>
        <v>0.31104587316319388</v>
      </c>
      <c r="F1614">
        <f t="shared" ca="1" si="153"/>
        <v>0.30851681022233057</v>
      </c>
      <c r="G1614" s="3">
        <f t="shared" ca="1" si="156"/>
        <v>1.8231016495935961</v>
      </c>
      <c r="H1614">
        <f t="shared" ca="1" si="154"/>
        <v>0.16922633485143562</v>
      </c>
      <c r="I1614">
        <f t="shared" ca="1" si="155"/>
        <v>2.3517746288042036</v>
      </c>
    </row>
    <row r="1615" spans="1:9" x14ac:dyDescent="0.3">
      <c r="A1615" s="1">
        <v>42522</v>
      </c>
      <c r="B1615" t="s">
        <v>0</v>
      </c>
      <c r="C1615">
        <v>734.15002400000003</v>
      </c>
      <c r="D1615" s="2">
        <f t="shared" si="151"/>
        <v>-2.1338920538830344E-3</v>
      </c>
      <c r="E1615" s="2">
        <f t="shared" ca="1" si="152"/>
        <v>-1.2459479933166671</v>
      </c>
      <c r="F1615">
        <f t="shared" ca="1" si="153"/>
        <v>-1.2545371317335687</v>
      </c>
      <c r="G1615" s="3">
        <f t="shared" ca="1" si="156"/>
        <v>1.8165773680846777</v>
      </c>
      <c r="H1615">
        <f t="shared" ca="1" si="154"/>
        <v>-0.69060484500932628</v>
      </c>
      <c r="I1615">
        <f t="shared" ca="1" si="155"/>
        <v>-0.45353626363070793</v>
      </c>
    </row>
    <row r="1616" spans="1:9" x14ac:dyDescent="0.3">
      <c r="A1616" s="1">
        <v>42523</v>
      </c>
      <c r="B1616" t="s">
        <v>0</v>
      </c>
      <c r="C1616">
        <v>730.40002400000003</v>
      </c>
      <c r="D1616" s="2">
        <f t="shared" si="151"/>
        <v>-5.1079478000534669E-3</v>
      </c>
      <c r="E1616" s="2">
        <f t="shared" ca="1" si="152"/>
        <v>1.4588944882922743</v>
      </c>
      <c r="F1616">
        <f t="shared" ca="1" si="153"/>
        <v>1.4569300113231092</v>
      </c>
      <c r="G1616" s="3">
        <f t="shared" ca="1" si="156"/>
        <v>1.8131039234669202</v>
      </c>
      <c r="H1616">
        <f t="shared" ca="1" si="154"/>
        <v>0.80355571044005336</v>
      </c>
      <c r="I1616">
        <f t="shared" ca="1" si="155"/>
        <v>-0.75267527161092451</v>
      </c>
    </row>
    <row r="1617" spans="1:9" x14ac:dyDescent="0.3">
      <c r="A1617" s="1">
        <v>42524</v>
      </c>
      <c r="B1617" t="s">
        <v>0</v>
      </c>
      <c r="C1617">
        <v>722.34002699999996</v>
      </c>
      <c r="D1617" s="2">
        <f t="shared" si="151"/>
        <v>-1.1035044818125672E-2</v>
      </c>
      <c r="E1617" s="2">
        <f t="shared" ca="1" si="152"/>
        <v>-0.1176707086339599</v>
      </c>
      <c r="F1617">
        <f t="shared" ca="1" si="153"/>
        <v>-0.11481892759257588</v>
      </c>
      <c r="G1617" s="3">
        <f t="shared" ca="1" si="156"/>
        <v>1.8107975423453968</v>
      </c>
      <c r="H1617">
        <f t="shared" ca="1" si="154"/>
        <v>-6.3407932089337343E-2</v>
      </c>
      <c r="I1617">
        <f t="shared" ca="1" si="155"/>
        <v>4.3195610749660025</v>
      </c>
    </row>
    <row r="1618" spans="1:9" x14ac:dyDescent="0.3">
      <c r="A1618" s="1">
        <v>42527</v>
      </c>
      <c r="B1618" t="s">
        <v>0</v>
      </c>
      <c r="C1618">
        <v>716.54998799999998</v>
      </c>
      <c r="D1618" s="2">
        <f t="shared" si="151"/>
        <v>-8.0156696065244899E-3</v>
      </c>
      <c r="E1618" s="2">
        <f t="shared" ca="1" si="152"/>
        <v>1.2081707049706956</v>
      </c>
      <c r="F1618">
        <f t="shared" ca="1" si="153"/>
        <v>1.2146416761976628</v>
      </c>
      <c r="G1618" s="3">
        <f t="shared" ca="1" si="156"/>
        <v>1.8042542085848181</v>
      </c>
      <c r="H1618">
        <f t="shared" ca="1" si="154"/>
        <v>0.67320983396811762</v>
      </c>
      <c r="I1618">
        <f t="shared" ca="1" si="155"/>
        <v>-0.38894178268119733</v>
      </c>
    </row>
    <row r="1619" spans="1:9" x14ac:dyDescent="0.3">
      <c r="A1619" s="1">
        <v>42528</v>
      </c>
      <c r="B1619" t="s">
        <v>0</v>
      </c>
      <c r="C1619">
        <v>716.65002400000003</v>
      </c>
      <c r="D1619" s="2">
        <f t="shared" si="151"/>
        <v>1.396078454753188E-4</v>
      </c>
      <c r="E1619" s="2">
        <f t="shared" ca="1" si="152"/>
        <v>-2.1422819225741763</v>
      </c>
      <c r="F1619">
        <f t="shared" ca="1" si="153"/>
        <v>-2.1330204409472184</v>
      </c>
      <c r="G1619" s="3">
        <f t="shared" ca="1" si="156"/>
        <v>1.800788056474858</v>
      </c>
      <c r="H1619">
        <f t="shared" ca="1" si="154"/>
        <v>-1.1844927743038922</v>
      </c>
      <c r="I1619">
        <f t="shared" ca="1" si="155"/>
        <v>-1.5150780495531588</v>
      </c>
    </row>
    <row r="1620" spans="1:9" x14ac:dyDescent="0.3">
      <c r="A1620" s="1">
        <v>42529</v>
      </c>
      <c r="B1620" t="s">
        <v>0</v>
      </c>
      <c r="C1620">
        <v>728.28002900000001</v>
      </c>
      <c r="D1620" s="2">
        <f t="shared" si="151"/>
        <v>1.6228290812141218E-2</v>
      </c>
      <c r="E1620" s="2">
        <f t="shared" ca="1" si="152"/>
        <v>-0.90969606552764093</v>
      </c>
      <c r="F1620">
        <f t="shared" ca="1" si="153"/>
        <v>-0.90474636076845982</v>
      </c>
      <c r="G1620" s="3">
        <f t="shared" ca="1" si="156"/>
        <v>1.8037083340287634</v>
      </c>
      <c r="H1620">
        <f t="shared" ca="1" si="154"/>
        <v>-0.50160347086029045</v>
      </c>
      <c r="I1620">
        <f t="shared" ca="1" si="155"/>
        <v>0.19987954758260099</v>
      </c>
    </row>
    <row r="1621" spans="1:9" x14ac:dyDescent="0.3">
      <c r="A1621" s="1">
        <v>42530</v>
      </c>
      <c r="B1621" t="s">
        <v>0</v>
      </c>
      <c r="C1621">
        <v>728.580017</v>
      </c>
      <c r="D1621" s="2">
        <f t="shared" si="151"/>
        <v>4.1191298409198147E-4</v>
      </c>
      <c r="E1621" s="2">
        <f t="shared" ca="1" si="152"/>
        <v>-0.66692789319199375</v>
      </c>
      <c r="F1621">
        <f t="shared" ca="1" si="153"/>
        <v>-0.67185354201587388</v>
      </c>
      <c r="G1621" s="3">
        <f t="shared" ca="1" si="156"/>
        <v>1.7989030614845842</v>
      </c>
      <c r="H1621">
        <f t="shared" ca="1" si="154"/>
        <v>-0.37347957007834098</v>
      </c>
      <c r="I1621">
        <f t="shared" ca="1" si="155"/>
        <v>0.79542943539089506</v>
      </c>
    </row>
    <row r="1622" spans="1:9" x14ac:dyDescent="0.3">
      <c r="A1622" s="1">
        <v>42531</v>
      </c>
      <c r="B1622" t="s">
        <v>0</v>
      </c>
      <c r="C1622">
        <v>719.40997300000004</v>
      </c>
      <c r="D1622" s="2">
        <f t="shared" si="151"/>
        <v>-1.2586186535500275E-2</v>
      </c>
      <c r="E1622" s="2">
        <f t="shared" ca="1" si="152"/>
        <v>-1.5862395160362064</v>
      </c>
      <c r="F1622">
        <f t="shared" ca="1" si="153"/>
        <v>-1.5964676373508098</v>
      </c>
      <c r="G1622" s="3">
        <f t="shared" ca="1" si="156"/>
        <v>1.7934074612782755</v>
      </c>
      <c r="H1622">
        <f t="shared" ca="1" si="154"/>
        <v>-0.89018679347575913</v>
      </c>
      <c r="I1622">
        <f t="shared" ca="1" si="155"/>
        <v>-0.93564907779513429</v>
      </c>
    </row>
    <row r="1623" spans="1:9" x14ac:dyDescent="0.3">
      <c r="A1623" s="1">
        <v>42534</v>
      </c>
      <c r="B1623" t="s">
        <v>0</v>
      </c>
      <c r="C1623">
        <v>718.35998500000005</v>
      </c>
      <c r="D1623" s="2">
        <f t="shared" si="151"/>
        <v>-1.4595127109809816E-3</v>
      </c>
      <c r="E1623" s="2">
        <f t="shared" ca="1" si="152"/>
        <v>-2.6502467905514036</v>
      </c>
      <c r="F1623">
        <f t="shared" ca="1" si="153"/>
        <v>-2.646750521553022</v>
      </c>
      <c r="G1623" s="3">
        <f t="shared" ca="1" si="156"/>
        <v>1.7923630060522131</v>
      </c>
      <c r="H1623">
        <f t="shared" ca="1" si="154"/>
        <v>-1.4766821858160577</v>
      </c>
      <c r="I1623">
        <f t="shared" ca="1" si="155"/>
        <v>-1.9466656426722526</v>
      </c>
    </row>
    <row r="1624" spans="1:9" x14ac:dyDescent="0.3">
      <c r="A1624" s="1">
        <v>42535</v>
      </c>
      <c r="B1624" t="s">
        <v>0</v>
      </c>
      <c r="C1624">
        <v>718.27002000000005</v>
      </c>
      <c r="D1624" s="2">
        <f t="shared" si="151"/>
        <v>-1.2523665276262082E-4</v>
      </c>
      <c r="E1624" s="2">
        <f t="shared" ca="1" si="152"/>
        <v>-0.94490624453353933</v>
      </c>
      <c r="F1624">
        <f t="shared" ca="1" si="153"/>
        <v>-0.93663369149062514</v>
      </c>
      <c r="G1624" s="3">
        <f t="shared" ca="1" si="156"/>
        <v>1.8006233721798102</v>
      </c>
      <c r="H1624">
        <f t="shared" ca="1" si="154"/>
        <v>-0.5201719059976152</v>
      </c>
      <c r="I1624">
        <f t="shared" ca="1" si="155"/>
        <v>0.13092600363469509</v>
      </c>
    </row>
    <row r="1625" spans="1:9" x14ac:dyDescent="0.3">
      <c r="A1625" s="1">
        <v>42536</v>
      </c>
      <c r="B1625" t="s">
        <v>0</v>
      </c>
      <c r="C1625">
        <v>718.919983</v>
      </c>
      <c r="D1625" s="2">
        <f t="shared" si="151"/>
        <v>9.0490063889894356E-4</v>
      </c>
      <c r="E1625" s="2">
        <f t="shared" ca="1" si="152"/>
        <v>-1.0940279100440091</v>
      </c>
      <c r="F1625">
        <f t="shared" ca="1" si="153"/>
        <v>-1.0930817350568676</v>
      </c>
      <c r="G1625" s="3">
        <f t="shared" ca="1" si="156"/>
        <v>1.7959841401872048</v>
      </c>
      <c r="H1625">
        <f t="shared" ca="1" si="154"/>
        <v>-0.60862549428912549</v>
      </c>
      <c r="I1625">
        <f t="shared" ca="1" si="155"/>
        <v>-0.17800265906764567</v>
      </c>
    </row>
    <row r="1626" spans="1:9" x14ac:dyDescent="0.3">
      <c r="A1626" s="1">
        <v>42537</v>
      </c>
      <c r="B1626" t="s">
        <v>0</v>
      </c>
      <c r="C1626">
        <v>710.35998500000005</v>
      </c>
      <c r="D1626" s="2">
        <f t="shared" si="151"/>
        <v>-1.1906746512010574E-2</v>
      </c>
      <c r="E1626" s="2">
        <f t="shared" ca="1" si="152"/>
        <v>1.5015686599079876</v>
      </c>
      <c r="F1626">
        <f t="shared" ca="1" si="153"/>
        <v>1.5013768342604357</v>
      </c>
      <c r="G1626" s="3">
        <f t="shared" ca="1" si="156"/>
        <v>1.7920738334449871</v>
      </c>
      <c r="H1626">
        <f t="shared" ca="1" si="154"/>
        <v>0.83778737585508345</v>
      </c>
      <c r="I1626">
        <f t="shared" ca="1" si="155"/>
        <v>-0.81282804687358334</v>
      </c>
    </row>
    <row r="1627" spans="1:9" x14ac:dyDescent="0.3">
      <c r="A1627" s="1">
        <v>42538</v>
      </c>
      <c r="B1627" t="s">
        <v>0</v>
      </c>
      <c r="C1627">
        <v>691.71997099999999</v>
      </c>
      <c r="D1627" s="2">
        <f t="shared" si="151"/>
        <v>-2.6240236490798482E-2</v>
      </c>
      <c r="E1627" s="2">
        <f t="shared" ca="1" si="152"/>
        <v>1.6674246501427812</v>
      </c>
      <c r="F1627">
        <f t="shared" ca="1" si="153"/>
        <v>1.6704113518225641</v>
      </c>
      <c r="G1627" s="3">
        <f t="shared" ca="1" si="156"/>
        <v>1.7904413171496409</v>
      </c>
      <c r="H1627">
        <f t="shared" ca="1" si="154"/>
        <v>0.93296068171719637</v>
      </c>
      <c r="I1627">
        <f t="shared" ca="1" si="155"/>
        <v>-1.0263865969844213</v>
      </c>
    </row>
    <row r="1628" spans="1:9" x14ac:dyDescent="0.3">
      <c r="A1628" s="1">
        <v>42541</v>
      </c>
      <c r="B1628" t="s">
        <v>0</v>
      </c>
      <c r="C1628">
        <v>693.71002199999998</v>
      </c>
      <c r="D1628" s="2">
        <f t="shared" si="151"/>
        <v>2.8769604513847326E-3</v>
      </c>
      <c r="E1628" s="2">
        <f t="shared" ca="1" si="152"/>
        <v>-1.3630845010504602</v>
      </c>
      <c r="F1628">
        <f t="shared" ca="1" si="153"/>
        <v>-1.3478462776432765</v>
      </c>
      <c r="G1628" s="3">
        <f t="shared" ca="1" si="156"/>
        <v>1.7899642256089685</v>
      </c>
      <c r="H1628">
        <f t="shared" ca="1" si="154"/>
        <v>-0.75300179654971711</v>
      </c>
      <c r="I1628">
        <f t="shared" ca="1" si="155"/>
        <v>-0.59702049329653362</v>
      </c>
    </row>
    <row r="1629" spans="1:9" x14ac:dyDescent="0.3">
      <c r="A1629" s="1">
        <v>42542</v>
      </c>
      <c r="B1629" t="s">
        <v>0</v>
      </c>
      <c r="C1629">
        <v>695.94000200000005</v>
      </c>
      <c r="D1629" s="2">
        <f t="shared" si="151"/>
        <v>3.2145708282704738E-3</v>
      </c>
      <c r="E1629" s="2">
        <f t="shared" ca="1" si="152"/>
        <v>1.5140252410830795</v>
      </c>
      <c r="F1629">
        <f t="shared" ca="1" si="153"/>
        <v>1.529507139512621</v>
      </c>
      <c r="G1629" s="3">
        <f t="shared" ca="1" si="156"/>
        <v>1.7874554277846304</v>
      </c>
      <c r="H1629">
        <f t="shared" ca="1" si="154"/>
        <v>0.85568966685132386</v>
      </c>
      <c r="I1629">
        <f t="shared" ca="1" si="155"/>
        <v>-0.84989552210146846</v>
      </c>
    </row>
    <row r="1630" spans="1:9" x14ac:dyDescent="0.3">
      <c r="A1630" s="1">
        <v>42543</v>
      </c>
      <c r="B1630" t="s">
        <v>0</v>
      </c>
      <c r="C1630">
        <v>697.46002199999998</v>
      </c>
      <c r="D1630" s="2">
        <f t="shared" si="151"/>
        <v>2.1841250619761489E-3</v>
      </c>
      <c r="E1630" s="2">
        <f t="shared" ca="1" si="152"/>
        <v>1.2436272836519107</v>
      </c>
      <c r="F1630">
        <f t="shared" ca="1" si="153"/>
        <v>1.240877335952165</v>
      </c>
      <c r="G1630" s="3">
        <f t="shared" ca="1" si="156"/>
        <v>1.7860934612912887</v>
      </c>
      <c r="H1630">
        <f t="shared" ca="1" si="154"/>
        <v>0.69474378740239617</v>
      </c>
      <c r="I1630">
        <f t="shared" ca="1" si="155"/>
        <v>-0.43164041497330113</v>
      </c>
    </row>
    <row r="1631" spans="1:9" x14ac:dyDescent="0.3">
      <c r="A1631" s="1">
        <v>42544</v>
      </c>
      <c r="B1631" t="s">
        <v>0</v>
      </c>
      <c r="C1631">
        <v>701.86999500000002</v>
      </c>
      <c r="D1631" s="2">
        <f t="shared" si="151"/>
        <v>6.3229043398849265E-3</v>
      </c>
      <c r="E1631" s="2">
        <f t="shared" ca="1" si="152"/>
        <v>-0.58655928223674447</v>
      </c>
      <c r="F1631">
        <f t="shared" ca="1" si="153"/>
        <v>-0.58921221548741054</v>
      </c>
      <c r="G1631" s="3">
        <f t="shared" ca="1" si="156"/>
        <v>1.7830701276609491</v>
      </c>
      <c r="H1631">
        <f t="shared" ca="1" si="154"/>
        <v>-0.33044814466178374</v>
      </c>
      <c r="I1631">
        <f t="shared" ca="1" si="155"/>
        <v>1.0578225677220574</v>
      </c>
    </row>
    <row r="1632" spans="1:9" x14ac:dyDescent="0.3">
      <c r="A1632" s="1">
        <v>42545</v>
      </c>
      <c r="B1632" t="s">
        <v>0</v>
      </c>
      <c r="C1632">
        <v>675.21997099999999</v>
      </c>
      <c r="D1632" s="2">
        <f t="shared" si="151"/>
        <v>-3.7970028908273862E-2</v>
      </c>
      <c r="E1632" s="2">
        <f t="shared" ca="1" si="152"/>
        <v>0.98950826952038362</v>
      </c>
      <c r="F1632">
        <f t="shared" ca="1" si="153"/>
        <v>0.98626295049878454</v>
      </c>
      <c r="G1632" s="3">
        <f t="shared" ca="1" si="156"/>
        <v>1.7775646421580433</v>
      </c>
      <c r="H1632">
        <f t="shared" ca="1" si="154"/>
        <v>0.55483942868115166</v>
      </c>
      <c r="I1632">
        <f t="shared" ca="1" si="155"/>
        <v>2.6182387178684399E-2</v>
      </c>
    </row>
    <row r="1633" spans="1:9" x14ac:dyDescent="0.3">
      <c r="A1633" s="1">
        <v>42548</v>
      </c>
      <c r="B1633" t="s">
        <v>0</v>
      </c>
      <c r="C1633">
        <v>668.26000999999997</v>
      </c>
      <c r="D1633" s="2">
        <f t="shared" si="151"/>
        <v>-1.0307694231395921E-2</v>
      </c>
      <c r="E1633" s="2">
        <f t="shared" ca="1" si="152"/>
        <v>-0.84866906159266775</v>
      </c>
      <c r="F1633">
        <f t="shared" ca="1" si="153"/>
        <v>-0.84128496284757448</v>
      </c>
      <c r="G1633" s="3">
        <f t="shared" ca="1" si="156"/>
        <v>1.7734733441819355</v>
      </c>
      <c r="H1633">
        <f t="shared" ca="1" si="154"/>
        <v>-0.47437136036326549</v>
      </c>
      <c r="I1633">
        <f t="shared" ca="1" si="155"/>
        <v>0.34549955719709274</v>
      </c>
    </row>
    <row r="1634" spans="1:9" x14ac:dyDescent="0.3">
      <c r="A1634" s="1">
        <v>42549</v>
      </c>
      <c r="B1634" t="s">
        <v>0</v>
      </c>
      <c r="C1634">
        <v>680.03997800000002</v>
      </c>
      <c r="D1634" s="2">
        <f t="shared" si="151"/>
        <v>1.7627821242812442E-2</v>
      </c>
      <c r="E1634" s="2">
        <f t="shared" ca="1" si="152"/>
        <v>0.32859999778724913</v>
      </c>
      <c r="F1634">
        <f t="shared" ca="1" si="153"/>
        <v>0.35531720759211394</v>
      </c>
      <c r="G1634" s="3">
        <f t="shared" ca="1" si="156"/>
        <v>1.7688727275622431</v>
      </c>
      <c r="H1634">
        <f t="shared" ca="1" si="154"/>
        <v>0.20087211592763449</v>
      </c>
      <c r="I1634">
        <f t="shared" ca="1" si="155"/>
        <v>2.067027390551782</v>
      </c>
    </row>
    <row r="1635" spans="1:9" x14ac:dyDescent="0.3">
      <c r="A1635" s="1">
        <v>42550</v>
      </c>
      <c r="B1635" t="s">
        <v>0</v>
      </c>
      <c r="C1635">
        <v>684.10998500000005</v>
      </c>
      <c r="D1635" s="2">
        <f t="shared" si="151"/>
        <v>5.9849525493632554E-3</v>
      </c>
      <c r="E1635" s="2">
        <f t="shared" ca="1" si="152"/>
        <v>0.22652827734723507</v>
      </c>
      <c r="F1635">
        <f t="shared" ca="1" si="153"/>
        <v>0.22769083741918447</v>
      </c>
      <c r="G1635" s="3">
        <f t="shared" ca="1" si="156"/>
        <v>1.7630722463642969</v>
      </c>
      <c r="H1635">
        <f t="shared" ca="1" si="154"/>
        <v>0.12914436029987711</v>
      </c>
      <c r="I1635">
        <f t="shared" ca="1" si="155"/>
        <v>2.9588421687973248</v>
      </c>
    </row>
    <row r="1636" spans="1:9" x14ac:dyDescent="0.3">
      <c r="A1636" s="1">
        <v>42551</v>
      </c>
      <c r="B1636" t="s">
        <v>0</v>
      </c>
      <c r="C1636">
        <v>692.09997599999997</v>
      </c>
      <c r="D1636" s="2">
        <f t="shared" si="151"/>
        <v>1.167939538260053E-2</v>
      </c>
      <c r="E1636" s="2">
        <f t="shared" ca="1" si="152"/>
        <v>-2.8862028032943861</v>
      </c>
      <c r="F1636">
        <f t="shared" ca="1" si="153"/>
        <v>-2.8989640953837497</v>
      </c>
      <c r="G1636" s="3">
        <f t="shared" ca="1" si="156"/>
        <v>1.7571798326577861</v>
      </c>
      <c r="H1636">
        <f t="shared" ca="1" si="154"/>
        <v>-1.6497822485243194</v>
      </c>
      <c r="I1636">
        <f t="shared" ca="1" si="155"/>
        <v>-2.1287231607450106</v>
      </c>
    </row>
    <row r="1637" spans="1:9" x14ac:dyDescent="0.3">
      <c r="A1637" s="1">
        <v>42552</v>
      </c>
      <c r="B1637" t="s">
        <v>0</v>
      </c>
      <c r="C1637">
        <v>699.21002199999998</v>
      </c>
      <c r="D1637" s="2">
        <f t="shared" si="151"/>
        <v>1.0273148745203846E-2</v>
      </c>
      <c r="E1637" s="2">
        <f t="shared" ca="1" si="152"/>
        <v>1.8888109224674636</v>
      </c>
      <c r="F1637">
        <f t="shared" ca="1" si="153"/>
        <v>1.8816017202092921</v>
      </c>
      <c r="G1637" s="3">
        <f t="shared" ca="1" si="156"/>
        <v>1.7698243294292904</v>
      </c>
      <c r="H1637">
        <f t="shared" ca="1" si="154"/>
        <v>1.0631573365340989</v>
      </c>
      <c r="I1637">
        <f t="shared" ca="1" si="155"/>
        <v>-1.2642765951953365</v>
      </c>
    </row>
    <row r="1638" spans="1:9" x14ac:dyDescent="0.3">
      <c r="A1638" s="1">
        <v>42556</v>
      </c>
      <c r="B1638" t="s">
        <v>0</v>
      </c>
      <c r="C1638">
        <v>694.95001200000002</v>
      </c>
      <c r="D1638" s="2">
        <f t="shared" si="151"/>
        <v>-6.0926043191068075E-3</v>
      </c>
      <c r="E1638" s="2">
        <f t="shared" ca="1" si="152"/>
        <v>1.1528274871256325</v>
      </c>
      <c r="F1638">
        <f t="shared" ca="1" si="153"/>
        <v>1.1424916682680692</v>
      </c>
      <c r="G1638" s="3">
        <f t="shared" ca="1" si="156"/>
        <v>1.7714228869756148</v>
      </c>
      <c r="H1638">
        <f t="shared" ca="1" si="154"/>
        <v>0.64495704366712103</v>
      </c>
      <c r="I1638">
        <f t="shared" ca="1" si="155"/>
        <v>-0.2664515404839069</v>
      </c>
    </row>
    <row r="1639" spans="1:9" x14ac:dyDescent="0.3">
      <c r="A1639" s="1">
        <v>42557</v>
      </c>
      <c r="B1639" t="s">
        <v>0</v>
      </c>
      <c r="C1639">
        <v>697.77002000000005</v>
      </c>
      <c r="D1639" s="2">
        <f t="shared" si="151"/>
        <v>4.0578573297442144E-3</v>
      </c>
      <c r="E1639" s="2">
        <f t="shared" ca="1" si="152"/>
        <v>0.58458765986584593</v>
      </c>
      <c r="F1639">
        <f t="shared" ca="1" si="153"/>
        <v>0.58000720811806439</v>
      </c>
      <c r="G1639" s="3">
        <f t="shared" ca="1" si="156"/>
        <v>1.7681467321176185</v>
      </c>
      <c r="H1639">
        <f t="shared" ca="1" si="154"/>
        <v>0.32803115125146859</v>
      </c>
      <c r="I1639">
        <f t="shared" ca="1" si="155"/>
        <v>1.0893805483808552</v>
      </c>
    </row>
    <row r="1640" spans="1:9" x14ac:dyDescent="0.3">
      <c r="A1640" s="1">
        <v>42558</v>
      </c>
      <c r="B1640" t="s">
        <v>0</v>
      </c>
      <c r="C1640">
        <v>695.35998500000005</v>
      </c>
      <c r="D1640" s="2">
        <f t="shared" si="151"/>
        <v>-3.4539102152884031E-3</v>
      </c>
      <c r="E1640" s="2">
        <f t="shared" ca="1" si="152"/>
        <v>-2.7616262544432462</v>
      </c>
      <c r="F1640">
        <f t="shared" ca="1" si="153"/>
        <v>-2.7590423226717231</v>
      </c>
      <c r="G1640" s="3">
        <f t="shared" ca="1" si="156"/>
        <v>1.762813590088397</v>
      </c>
      <c r="H1640">
        <f t="shared" ca="1" si="154"/>
        <v>-1.5651356094511217</v>
      </c>
      <c r="I1640">
        <f t="shared" ca="1" si="155"/>
        <v>-2.029768837084748</v>
      </c>
    </row>
    <row r="1641" spans="1:9" x14ac:dyDescent="0.3">
      <c r="A1641" s="1">
        <v>42559</v>
      </c>
      <c r="B1641" t="s">
        <v>0</v>
      </c>
      <c r="C1641">
        <v>705.63000499999998</v>
      </c>
      <c r="D1641" s="2">
        <f t="shared" si="151"/>
        <v>1.4769357198487529E-2</v>
      </c>
      <c r="E1641" s="2">
        <f t="shared" ca="1" si="152"/>
        <v>0.32336317016003707</v>
      </c>
      <c r="F1641">
        <f t="shared" ca="1" si="153"/>
        <v>0.3218661924620132</v>
      </c>
      <c r="G1641" s="3">
        <f t="shared" ca="1" si="156"/>
        <v>1.7734893628742585</v>
      </c>
      <c r="H1641">
        <f t="shared" ca="1" si="154"/>
        <v>0.18148752352276371</v>
      </c>
      <c r="I1641">
        <f t="shared" ca="1" si="155"/>
        <v>2.2651331588536947</v>
      </c>
    </row>
    <row r="1642" spans="1:9" x14ac:dyDescent="0.3">
      <c r="A1642" s="1">
        <v>42562</v>
      </c>
      <c r="B1642" t="s">
        <v>0</v>
      </c>
      <c r="C1642">
        <v>715.09002699999996</v>
      </c>
      <c r="D1642" s="2">
        <f t="shared" si="151"/>
        <v>1.3406490558745416E-2</v>
      </c>
      <c r="E1642" s="2">
        <f t="shared" ca="1" si="152"/>
        <v>-1.7941965751197551</v>
      </c>
      <c r="F1642">
        <f t="shared" ca="1" si="153"/>
        <v>-1.7964495485303673</v>
      </c>
      <c r="G1642" s="3">
        <f t="shared" ca="1" si="156"/>
        <v>1.7675829188400625</v>
      </c>
      <c r="H1642">
        <f t="shared" ca="1" si="154"/>
        <v>-1.0163311318426</v>
      </c>
      <c r="I1642">
        <f t="shared" ca="1" si="155"/>
        <v>-1.1716801808956641</v>
      </c>
    </row>
    <row r="1643" spans="1:9" x14ac:dyDescent="0.3">
      <c r="A1643" s="1">
        <v>42563</v>
      </c>
      <c r="B1643" t="s">
        <v>0</v>
      </c>
      <c r="C1643">
        <v>720.64001499999995</v>
      </c>
      <c r="D1643" s="2">
        <f t="shared" si="151"/>
        <v>7.7612437461667821E-3</v>
      </c>
      <c r="E1643" s="2">
        <f t="shared" ca="1" si="152"/>
        <v>1.0494335985065388</v>
      </c>
      <c r="F1643">
        <f t="shared" ca="1" si="153"/>
        <v>1.036239416387909</v>
      </c>
      <c r="G1643" s="3">
        <f t="shared" ca="1" si="156"/>
        <v>1.7685561536060128</v>
      </c>
      <c r="H1643">
        <f t="shared" ca="1" si="154"/>
        <v>0.58592395512862827</v>
      </c>
      <c r="I1643">
        <f t="shared" ca="1" si="155"/>
        <v>-7.1252525436934985E-2</v>
      </c>
    </row>
    <row r="1644" spans="1:9" x14ac:dyDescent="0.3">
      <c r="A1644" s="1">
        <v>42564</v>
      </c>
      <c r="B1644" t="s">
        <v>0</v>
      </c>
      <c r="C1644">
        <v>716.97997999999995</v>
      </c>
      <c r="D1644" s="2">
        <f t="shared" si="151"/>
        <v>-5.078867289932538E-3</v>
      </c>
      <c r="E1644" s="2">
        <f t="shared" ca="1" si="152"/>
        <v>-0.79373095547590133</v>
      </c>
      <c r="F1644">
        <f t="shared" ca="1" si="153"/>
        <v>-0.80439326753560303</v>
      </c>
      <c r="G1644" s="3">
        <f t="shared" ca="1" si="156"/>
        <v>1.764823851310894</v>
      </c>
      <c r="H1644">
        <f t="shared" ca="1" si="154"/>
        <v>-0.45579238230382457</v>
      </c>
      <c r="I1644">
        <f t="shared" ca="1" si="155"/>
        <v>0.43529411586447975</v>
      </c>
    </row>
    <row r="1645" spans="1:9" x14ac:dyDescent="0.3">
      <c r="A1645" s="1">
        <v>42565</v>
      </c>
      <c r="B1645" t="s">
        <v>0</v>
      </c>
      <c r="C1645">
        <v>720.95001200000002</v>
      </c>
      <c r="D1645" s="2">
        <f t="shared" si="151"/>
        <v>5.5371587920768168E-3</v>
      </c>
      <c r="E1645" s="2">
        <f t="shared" ca="1" si="152"/>
        <v>-1.6240558593015348</v>
      </c>
      <c r="F1645">
        <f t="shared" ca="1" si="153"/>
        <v>-1.627374417449365</v>
      </c>
      <c r="G1645" s="3">
        <f t="shared" ca="1" si="156"/>
        <v>1.7602155296900885</v>
      </c>
      <c r="H1645">
        <f t="shared" ca="1" si="154"/>
        <v>-0.92453133721407843</v>
      </c>
      <c r="I1645">
        <f t="shared" ca="1" si="155"/>
        <v>-0.9739474356104405</v>
      </c>
    </row>
    <row r="1646" spans="1:9" x14ac:dyDescent="0.3">
      <c r="A1646" s="1">
        <v>42566</v>
      </c>
      <c r="B1646" t="s">
        <v>0</v>
      </c>
      <c r="C1646">
        <v>719.84997599999997</v>
      </c>
      <c r="D1646" s="2">
        <f t="shared" si="151"/>
        <v>-1.5258145248495335E-3</v>
      </c>
      <c r="E1646" s="2">
        <f t="shared" ca="1" si="152"/>
        <v>0.90220282213548275</v>
      </c>
      <c r="F1646">
        <f t="shared" ca="1" si="153"/>
        <v>0.90371442663435408</v>
      </c>
      <c r="G1646" s="3">
        <f t="shared" ca="1" si="156"/>
        <v>1.7600894349112677</v>
      </c>
      <c r="H1646">
        <f t="shared" ca="1" si="154"/>
        <v>0.51344801503220971</v>
      </c>
      <c r="I1646">
        <f t="shared" ca="1" si="155"/>
        <v>0.20248088584374288</v>
      </c>
    </row>
    <row r="1647" spans="1:9" x14ac:dyDescent="0.3">
      <c r="A1647" s="1">
        <v>42569</v>
      </c>
      <c r="B1647" t="s">
        <v>0</v>
      </c>
      <c r="C1647">
        <v>733.78002900000001</v>
      </c>
      <c r="D1647" s="2">
        <f t="shared" si="151"/>
        <v>1.9351328005045378E-2</v>
      </c>
      <c r="E1647" s="2">
        <f t="shared" ca="1" si="152"/>
        <v>-0.71112966761215801</v>
      </c>
      <c r="F1647">
        <f t="shared" ca="1" si="153"/>
        <v>-0.71412269294667718</v>
      </c>
      <c r="G1647" s="3">
        <f t="shared" ca="1" si="156"/>
        <v>1.7559238792051277</v>
      </c>
      <c r="H1647">
        <f t="shared" ca="1" si="154"/>
        <v>-0.40669342299163136</v>
      </c>
      <c r="I1647">
        <f t="shared" ca="1" si="155"/>
        <v>0.6726666811112767</v>
      </c>
    </row>
    <row r="1648" spans="1:9" x14ac:dyDescent="0.3">
      <c r="A1648" s="1">
        <v>42570</v>
      </c>
      <c r="B1648" t="s">
        <v>0</v>
      </c>
      <c r="C1648">
        <v>736.96002199999998</v>
      </c>
      <c r="D1648" s="2">
        <f t="shared" si="151"/>
        <v>4.3337142935515457E-3</v>
      </c>
      <c r="E1648" s="2">
        <f t="shared" ca="1" si="152"/>
        <v>-1.2411373568036239</v>
      </c>
      <c r="F1648">
        <f t="shared" ca="1" si="153"/>
        <v>-1.2459571343777127</v>
      </c>
      <c r="G1648" s="3">
        <f t="shared" ca="1" si="156"/>
        <v>1.7511382784020262</v>
      </c>
      <c r="H1648">
        <f t="shared" ca="1" si="154"/>
        <v>-0.71151270561836577</v>
      </c>
      <c r="I1648">
        <f t="shared" ca="1" si="155"/>
        <v>-0.43982013239620393</v>
      </c>
    </row>
    <row r="1649" spans="1:9" x14ac:dyDescent="0.3">
      <c r="A1649" s="1">
        <v>42571</v>
      </c>
      <c r="B1649" t="s">
        <v>0</v>
      </c>
      <c r="C1649">
        <v>741.19000200000005</v>
      </c>
      <c r="D1649" s="2">
        <f t="shared" si="151"/>
        <v>5.7397686085067842E-3</v>
      </c>
      <c r="E1649" s="2">
        <f t="shared" ca="1" si="152"/>
        <v>-1.0119877693379102</v>
      </c>
      <c r="F1649">
        <f t="shared" ca="1" si="153"/>
        <v>-1.025329941214588</v>
      </c>
      <c r="G1649" s="3">
        <f t="shared" ca="1" si="156"/>
        <v>1.7487571334857568</v>
      </c>
      <c r="H1649">
        <f t="shared" ca="1" si="154"/>
        <v>-0.58631923300339694</v>
      </c>
      <c r="I1649">
        <f t="shared" ca="1" si="155"/>
        <v>-5.0060246616955538E-2</v>
      </c>
    </row>
    <row r="1650" spans="1:9" x14ac:dyDescent="0.3">
      <c r="A1650" s="1">
        <v>42572</v>
      </c>
      <c r="B1650" t="s">
        <v>0</v>
      </c>
      <c r="C1650">
        <v>738.63000499999998</v>
      </c>
      <c r="D1650" s="2">
        <f t="shared" si="151"/>
        <v>-3.4539011496273076E-3</v>
      </c>
      <c r="E1650" s="2">
        <f t="shared" ca="1" si="152"/>
        <v>-1.9270502763275164</v>
      </c>
      <c r="F1650">
        <f t="shared" ca="1" si="153"/>
        <v>-1.9314602665428022</v>
      </c>
      <c r="G1650" s="3">
        <f t="shared" ca="1" si="156"/>
        <v>1.7452906925718041</v>
      </c>
      <c r="H1650">
        <f t="shared" ca="1" si="154"/>
        <v>-1.1066696652674315</v>
      </c>
      <c r="I1650">
        <f t="shared" ca="1" si="155"/>
        <v>-1.3165558610118404</v>
      </c>
    </row>
    <row r="1651" spans="1:9" x14ac:dyDescent="0.3">
      <c r="A1651" s="1">
        <v>42573</v>
      </c>
      <c r="B1651" t="s">
        <v>0</v>
      </c>
      <c r="C1651">
        <v>742.73999000000003</v>
      </c>
      <c r="D1651" s="2">
        <f t="shared" si="151"/>
        <v>5.5643352858378015E-3</v>
      </c>
      <c r="E1651" s="2">
        <f t="shared" ca="1" si="152"/>
        <v>-4.037570734676919</v>
      </c>
      <c r="F1651">
        <f t="shared" ca="1" si="153"/>
        <v>-4.0401150356771396</v>
      </c>
      <c r="G1651" s="3">
        <f t="shared" ca="1" si="156"/>
        <v>1.7479382954502853</v>
      </c>
      <c r="H1651">
        <f t="shared" ca="1" si="154"/>
        <v>-2.3113602157428379</v>
      </c>
      <c r="I1651">
        <f t="shared" ca="1" si="155"/>
        <v>-2.7925482283671519</v>
      </c>
    </row>
    <row r="1652" spans="1:9" x14ac:dyDescent="0.3">
      <c r="A1652" s="1">
        <v>42576</v>
      </c>
      <c r="B1652" t="s">
        <v>0</v>
      </c>
      <c r="C1652">
        <v>739.77002000000005</v>
      </c>
      <c r="D1652" s="2">
        <f t="shared" si="151"/>
        <v>-3.9986671513405235E-3</v>
      </c>
      <c r="E1652" s="2">
        <f t="shared" ca="1" si="152"/>
        <v>1.1136233169612761</v>
      </c>
      <c r="F1652">
        <f t="shared" ca="1" si="153"/>
        <v>1.1141149573194506</v>
      </c>
      <c r="G1652" s="3">
        <f t="shared" ca="1" si="156"/>
        <v>1.7785872043931519</v>
      </c>
      <c r="H1652">
        <f t="shared" ca="1" si="154"/>
        <v>0.62640445999361782</v>
      </c>
      <c r="I1652">
        <f t="shared" ca="1" si="155"/>
        <v>-0.21613354055249168</v>
      </c>
    </row>
    <row r="1653" spans="1:9" x14ac:dyDescent="0.3">
      <c r="A1653" s="1">
        <v>42577</v>
      </c>
      <c r="B1653" t="s">
        <v>0</v>
      </c>
      <c r="C1653">
        <v>738.419983</v>
      </c>
      <c r="D1653" s="2">
        <f t="shared" si="151"/>
        <v>-1.8249414865447546E-3</v>
      </c>
      <c r="E1653" s="2">
        <f t="shared" ca="1" si="152"/>
        <v>-1.1657547005548623</v>
      </c>
      <c r="F1653">
        <f t="shared" ca="1" si="153"/>
        <v>-1.1680273294094858</v>
      </c>
      <c r="G1653" s="3">
        <f t="shared" ca="1" si="156"/>
        <v>1.7750550679829673</v>
      </c>
      <c r="H1653">
        <f t="shared" ca="1" si="154"/>
        <v>-0.65802315121228327</v>
      </c>
      <c r="I1653">
        <f t="shared" ca="1" si="155"/>
        <v>-0.31063500633410196</v>
      </c>
    </row>
    <row r="1654" spans="1:9" x14ac:dyDescent="0.3">
      <c r="A1654" s="1">
        <v>42578</v>
      </c>
      <c r="B1654" t="s">
        <v>0</v>
      </c>
      <c r="C1654">
        <v>741.77002000000005</v>
      </c>
      <c r="D1654" s="2">
        <f t="shared" si="151"/>
        <v>4.5367637349002284E-3</v>
      </c>
      <c r="E1654" s="2">
        <f t="shared" ca="1" si="152"/>
        <v>-1.9237324154759132</v>
      </c>
      <c r="F1654">
        <f t="shared" ca="1" si="153"/>
        <v>-1.9206983241631936</v>
      </c>
      <c r="G1654" s="3">
        <f t="shared" ca="1" si="156"/>
        <v>1.7718455415819716</v>
      </c>
      <c r="H1654">
        <f t="shared" ca="1" si="154"/>
        <v>-1.0840100218037745</v>
      </c>
      <c r="I1654">
        <f t="shared" ca="1" si="155"/>
        <v>-1.3053832400561722</v>
      </c>
    </row>
    <row r="1655" spans="1:9" x14ac:dyDescent="0.3">
      <c r="A1655" s="1">
        <v>42579</v>
      </c>
      <c r="B1655" t="s">
        <v>0</v>
      </c>
      <c r="C1655">
        <v>745.90997300000004</v>
      </c>
      <c r="D1655" s="2">
        <f t="shared" si="151"/>
        <v>5.5811813478252887E-3</v>
      </c>
      <c r="E1655" s="2">
        <f t="shared" ca="1" si="152"/>
        <v>1.9225817528616107</v>
      </c>
      <c r="F1655">
        <f t="shared" ca="1" si="153"/>
        <v>1.9223654317410692</v>
      </c>
      <c r="G1655" s="3">
        <f t="shared" ca="1" si="156"/>
        <v>1.7737148361893449</v>
      </c>
      <c r="H1655">
        <f t="shared" ca="1" si="154"/>
        <v>1.0838074940338696</v>
      </c>
      <c r="I1655">
        <f t="shared" ca="1" si="155"/>
        <v>-1.3071212759922055</v>
      </c>
    </row>
    <row r="1656" spans="1:9" x14ac:dyDescent="0.3">
      <c r="A1656" s="1">
        <v>42580</v>
      </c>
      <c r="B1656" t="s">
        <v>0</v>
      </c>
      <c r="C1656">
        <v>768.78997800000002</v>
      </c>
      <c r="D1656" s="2">
        <f t="shared" si="151"/>
        <v>3.0673949710014109E-2</v>
      </c>
      <c r="E1656" s="2">
        <f t="shared" ca="1" si="152"/>
        <v>-1.7602109777965997</v>
      </c>
      <c r="F1656">
        <f t="shared" ca="1" si="153"/>
        <v>-1.7647001209880375</v>
      </c>
      <c r="G1656" s="3">
        <f t="shared" ca="1" si="156"/>
        <v>1.7755506594960373</v>
      </c>
      <c r="H1656">
        <f t="shared" ca="1" si="154"/>
        <v>-0.99388891640462707</v>
      </c>
      <c r="I1656">
        <f t="shared" ca="1" si="155"/>
        <v>-1.1362636782428313</v>
      </c>
    </row>
    <row r="1657" spans="1:9" x14ac:dyDescent="0.3">
      <c r="A1657" s="1">
        <v>42583</v>
      </c>
      <c r="B1657" t="s">
        <v>0</v>
      </c>
      <c r="C1657">
        <v>772.88000499999998</v>
      </c>
      <c r="D1657" s="2">
        <f t="shared" si="151"/>
        <v>5.3200836600915775E-3</v>
      </c>
      <c r="E1657" s="2">
        <f t="shared" ca="1" si="152"/>
        <v>-0.32885003838138949</v>
      </c>
      <c r="F1657">
        <f t="shared" ca="1" si="153"/>
        <v>-0.34147133330499463</v>
      </c>
      <c r="G1657" s="3">
        <f t="shared" ca="1" si="156"/>
        <v>1.7760928077685321</v>
      </c>
      <c r="H1657">
        <f t="shared" ca="1" si="154"/>
        <v>-0.19225984802788335</v>
      </c>
      <c r="I1657">
        <f t="shared" ca="1" si="155"/>
        <v>2.1487403611533527</v>
      </c>
    </row>
    <row r="1658" spans="1:9" x14ac:dyDescent="0.3">
      <c r="A1658" s="1">
        <v>42584</v>
      </c>
      <c r="B1658" t="s">
        <v>0</v>
      </c>
      <c r="C1658">
        <v>771.07000700000003</v>
      </c>
      <c r="D1658" s="2">
        <f t="shared" si="151"/>
        <v>-2.3418874706170596E-3</v>
      </c>
      <c r="E1658" s="2">
        <f t="shared" ca="1" si="152"/>
        <v>-0.64611317299660087</v>
      </c>
      <c r="F1658">
        <f t="shared" ca="1" si="153"/>
        <v>-0.66680000527513295</v>
      </c>
      <c r="G1658" s="3">
        <f t="shared" ca="1" si="156"/>
        <v>1.7701824825233741</v>
      </c>
      <c r="H1658">
        <f t="shared" ca="1" si="154"/>
        <v>-0.37668433162021664</v>
      </c>
      <c r="I1658">
        <f t="shared" ca="1" si="155"/>
        <v>0.81051790534038859</v>
      </c>
    </row>
    <row r="1659" spans="1:9" x14ac:dyDescent="0.3">
      <c r="A1659" s="1">
        <v>42585</v>
      </c>
      <c r="B1659" t="s">
        <v>0</v>
      </c>
      <c r="C1659">
        <v>773.17999299999997</v>
      </c>
      <c r="D1659" s="2">
        <f t="shared" si="151"/>
        <v>2.7364389495698996E-3</v>
      </c>
      <c r="E1659" s="2">
        <f t="shared" ca="1" si="152"/>
        <v>2.0227282885211181E-2</v>
      </c>
      <c r="F1659">
        <f t="shared" ca="1" si="153"/>
        <v>1.7612754267937927E-2</v>
      </c>
      <c r="G1659" s="3">
        <f t="shared" ca="1" si="156"/>
        <v>1.7650577736224651</v>
      </c>
      <c r="H1659">
        <f t="shared" ca="1" si="154"/>
        <v>9.9785709743601767E-3</v>
      </c>
      <c r="I1659">
        <f t="shared" ca="1" si="155"/>
        <v>8.0541250579683243</v>
      </c>
    </row>
    <row r="1660" spans="1:9" x14ac:dyDescent="0.3">
      <c r="A1660" s="1">
        <v>42586</v>
      </c>
      <c r="B1660" t="s">
        <v>0</v>
      </c>
      <c r="C1660">
        <v>771.60998500000005</v>
      </c>
      <c r="D1660" s="2">
        <f t="shared" si="151"/>
        <v>-2.0305853930701959E-3</v>
      </c>
      <c r="E1660" s="2">
        <f t="shared" ca="1" si="152"/>
        <v>0.72408888857657794</v>
      </c>
      <c r="F1660">
        <f t="shared" ca="1" si="153"/>
        <v>0.72473126264598176</v>
      </c>
      <c r="G1660" s="3">
        <f t="shared" ca="1" si="156"/>
        <v>1.7590283023493765</v>
      </c>
      <c r="H1660">
        <f t="shared" ca="1" si="154"/>
        <v>0.41200659573130416</v>
      </c>
      <c r="I1660">
        <f t="shared" ca="1" si="155"/>
        <v>0.64390087977061727</v>
      </c>
    </row>
    <row r="1661" spans="1:9" x14ac:dyDescent="0.3">
      <c r="A1661" s="1">
        <v>42587</v>
      </c>
      <c r="B1661" t="s">
        <v>0</v>
      </c>
      <c r="C1661">
        <v>782.21997099999999</v>
      </c>
      <c r="D1661" s="2">
        <f t="shared" si="151"/>
        <v>1.3750451920344103E-2</v>
      </c>
      <c r="E1661" s="2">
        <f t="shared" ca="1" si="152"/>
        <v>-0.17459738713415104</v>
      </c>
      <c r="F1661">
        <f t="shared" ca="1" si="153"/>
        <v>-0.17569590824322034</v>
      </c>
      <c r="G1661" s="3">
        <f t="shared" ca="1" si="156"/>
        <v>1.7542334266002959</v>
      </c>
      <c r="H1661">
        <f t="shared" ca="1" si="154"/>
        <v>-0.1001553758918612</v>
      </c>
      <c r="I1661">
        <f t="shared" ca="1" si="155"/>
        <v>3.4718760804949134</v>
      </c>
    </row>
    <row r="1662" spans="1:9" x14ac:dyDescent="0.3">
      <c r="A1662" s="1">
        <v>42590</v>
      </c>
      <c r="B1662" t="s">
        <v>0</v>
      </c>
      <c r="C1662">
        <v>781.76000999999997</v>
      </c>
      <c r="D1662" s="2">
        <f t="shared" si="151"/>
        <v>-5.8802001617524688E-4</v>
      </c>
      <c r="E1662" s="2">
        <f t="shared" ca="1" si="152"/>
        <v>-0.837198229752112</v>
      </c>
      <c r="F1662">
        <f t="shared" ca="1" si="153"/>
        <v>-0.84003370048814519</v>
      </c>
      <c r="G1662" s="3">
        <f t="shared" ca="1" si="156"/>
        <v>1.7484014462804733</v>
      </c>
      <c r="H1662">
        <f t="shared" ca="1" si="154"/>
        <v>-0.48045813635948542</v>
      </c>
      <c r="I1662">
        <f t="shared" ca="1" si="155"/>
        <v>0.34862604664756519</v>
      </c>
    </row>
    <row r="1663" spans="1:9" x14ac:dyDescent="0.3">
      <c r="A1663" s="1">
        <v>42591</v>
      </c>
      <c r="B1663" t="s">
        <v>0</v>
      </c>
      <c r="C1663">
        <v>784.26000999999997</v>
      </c>
      <c r="D1663" s="2">
        <f t="shared" si="151"/>
        <v>3.1979123618768885E-3</v>
      </c>
      <c r="E1663" s="2">
        <f t="shared" ca="1" si="152"/>
        <v>1.1122058353561339</v>
      </c>
      <c r="F1663">
        <f t="shared" ca="1" si="153"/>
        <v>1.1038188016004695</v>
      </c>
      <c r="G1663" s="3">
        <f t="shared" ca="1" si="156"/>
        <v>1.7441617488364625</v>
      </c>
      <c r="H1663">
        <f t="shared" ca="1" si="154"/>
        <v>0.63286492914824644</v>
      </c>
      <c r="I1663">
        <f t="shared" ca="1" si="155"/>
        <v>-0.19756000419103956</v>
      </c>
    </row>
    <row r="1664" spans="1:9" x14ac:dyDescent="0.3">
      <c r="A1664" s="1">
        <v>42592</v>
      </c>
      <c r="B1664" t="s">
        <v>0</v>
      </c>
      <c r="C1664">
        <v>784.67999299999997</v>
      </c>
      <c r="D1664" s="2">
        <f t="shared" si="151"/>
        <v>5.3551500094975132E-4</v>
      </c>
      <c r="E1664" s="2">
        <f t="shared" ca="1" si="152"/>
        <v>-1.9373016165189454</v>
      </c>
      <c r="F1664">
        <f t="shared" ca="1" si="153"/>
        <v>-1.9378889653449338</v>
      </c>
      <c r="G1664" s="3">
        <f t="shared" ca="1" si="156"/>
        <v>1.7411483936775198</v>
      </c>
      <c r="H1664">
        <f t="shared" ca="1" si="154"/>
        <v>-1.1129947179584583</v>
      </c>
      <c r="I1664">
        <f t="shared" ca="1" si="155"/>
        <v>-1.3231985131705968</v>
      </c>
    </row>
    <row r="1665" spans="1:9" x14ac:dyDescent="0.3">
      <c r="A1665" s="1">
        <v>42593</v>
      </c>
      <c r="B1665" t="s">
        <v>0</v>
      </c>
      <c r="C1665">
        <v>784.84997599999997</v>
      </c>
      <c r="D1665" s="2">
        <f t="shared" si="151"/>
        <v>2.1662716204872321E-4</v>
      </c>
      <c r="E1665" s="2">
        <f t="shared" ca="1" si="152"/>
        <v>-0.27830540024806988</v>
      </c>
      <c r="F1665">
        <f t="shared" ca="1" si="153"/>
        <v>-0.28045640178156717</v>
      </c>
      <c r="G1665" s="3">
        <f t="shared" ca="1" si="156"/>
        <v>1.7439623440135315</v>
      </c>
      <c r="H1665">
        <f t="shared" ca="1" si="154"/>
        <v>-0.16081562927335266</v>
      </c>
      <c r="I1665">
        <f t="shared" ca="1" si="155"/>
        <v>2.542673396321077</v>
      </c>
    </row>
    <row r="1666" spans="1:9" x14ac:dyDescent="0.3">
      <c r="A1666" s="1">
        <v>42594</v>
      </c>
      <c r="B1666" t="s">
        <v>0</v>
      </c>
      <c r="C1666">
        <v>783.21997099999999</v>
      </c>
      <c r="D1666" s="2">
        <f t="shared" si="151"/>
        <v>-2.0768364016615359E-3</v>
      </c>
      <c r="E1666" s="2">
        <f t="shared" ca="1" si="152"/>
        <v>1.5952497178054301</v>
      </c>
      <c r="F1666">
        <f t="shared" ca="1" si="153"/>
        <v>1.5948516636495542</v>
      </c>
      <c r="G1666" s="3">
        <f t="shared" ca="1" si="156"/>
        <v>1.7383633554543416</v>
      </c>
      <c r="H1666">
        <f t="shared" ca="1" si="154"/>
        <v>0.9174443643473611</v>
      </c>
      <c r="I1666">
        <f t="shared" ca="1" si="155"/>
        <v>-0.93356315788899635</v>
      </c>
    </row>
    <row r="1667" spans="1:9" x14ac:dyDescent="0.3">
      <c r="A1667" s="1">
        <v>42597</v>
      </c>
      <c r="B1667" t="s">
        <v>0</v>
      </c>
      <c r="C1667">
        <v>782.44000200000005</v>
      </c>
      <c r="D1667" s="2">
        <f t="shared" si="151"/>
        <v>-9.958492235637047E-4</v>
      </c>
      <c r="E1667" s="2">
        <f t="shared" ca="1" si="152"/>
        <v>1.5604332656966278</v>
      </c>
      <c r="F1667">
        <f t="shared" ca="1" si="153"/>
        <v>1.5609176135188565</v>
      </c>
      <c r="G1667" s="3">
        <f t="shared" ca="1" si="156"/>
        <v>1.7384815834831837</v>
      </c>
      <c r="H1667">
        <f t="shared" ca="1" si="154"/>
        <v>0.89786261088336417</v>
      </c>
      <c r="I1667">
        <f t="shared" ca="1" si="155"/>
        <v>-0.89054813128206678</v>
      </c>
    </row>
    <row r="1668" spans="1:9" x14ac:dyDescent="0.3">
      <c r="A1668" s="1">
        <v>42598</v>
      </c>
      <c r="B1668" t="s">
        <v>0</v>
      </c>
      <c r="C1668">
        <v>777.14001499999995</v>
      </c>
      <c r="D1668" s="2">
        <f t="shared" ref="D1668:D1731" si="157">(C1668-C1667)/C1667</f>
        <v>-6.77366569507281E-3</v>
      </c>
      <c r="E1668" s="2">
        <f t="shared" ca="1" si="152"/>
        <v>-0.48523423234399521</v>
      </c>
      <c r="F1668">
        <f t="shared" ca="1" si="153"/>
        <v>-0.48364406535251803</v>
      </c>
      <c r="G1668" s="3">
        <f t="shared" ca="1" si="156"/>
        <v>1.7383522508143945</v>
      </c>
      <c r="H1668">
        <f t="shared" ca="1" si="154"/>
        <v>-0.27821982864861672</v>
      </c>
      <c r="I1668">
        <f t="shared" ca="1" si="155"/>
        <v>1.4526159365631015</v>
      </c>
    </row>
    <row r="1669" spans="1:9" x14ac:dyDescent="0.3">
      <c r="A1669" s="1">
        <v>42599</v>
      </c>
      <c r="B1669" t="s">
        <v>0</v>
      </c>
      <c r="C1669">
        <v>779.90997300000004</v>
      </c>
      <c r="D1669" s="2">
        <f t="shared" si="157"/>
        <v>3.5642972264143262E-3</v>
      </c>
      <c r="E1669" s="2">
        <f t="shared" ca="1" si="152"/>
        <v>-1.1526103560182637</v>
      </c>
      <c r="F1669">
        <f t="shared" ca="1" si="153"/>
        <v>-1.1499705709791581</v>
      </c>
      <c r="G1669" s="3">
        <f t="shared" ca="1" si="156"/>
        <v>1.7331787798976452</v>
      </c>
      <c r="H1669">
        <f t="shared" ca="1" si="154"/>
        <v>-0.66350372178401062</v>
      </c>
      <c r="I1669">
        <f t="shared" ca="1" si="155"/>
        <v>-0.27948230989280354</v>
      </c>
    </row>
    <row r="1670" spans="1:9" x14ac:dyDescent="0.3">
      <c r="A1670" s="1">
        <v>42600</v>
      </c>
      <c r="B1670" t="s">
        <v>0</v>
      </c>
      <c r="C1670">
        <v>777.5</v>
      </c>
      <c r="D1670" s="2">
        <f t="shared" si="157"/>
        <v>-3.0900656273567567E-3</v>
      </c>
      <c r="E1670" s="2">
        <f t="shared" ref="E1670:E1733" ca="1" si="158">$N$9*D1669+$N$10*D1668+F1670</f>
        <v>2.5423647537768286</v>
      </c>
      <c r="F1670">
        <f t="shared" ref="F1670:F1733" ca="1" si="159">G1670*H1670</f>
        <v>2.5455199427837565</v>
      </c>
      <c r="G1670" s="3">
        <f t="shared" ca="1" si="156"/>
        <v>1.7305908769212515</v>
      </c>
      <c r="H1670">
        <f t="shared" ref="H1670:H1733" ca="1" si="160">_xlfn.NORM.S.INV(RAND())</f>
        <v>1.4708964300749561</v>
      </c>
      <c r="I1670">
        <f t="shared" ref="I1670:I1733" ca="1" si="161">-LN(F1670^2)-(D1670^2)/(F1670^2)</f>
        <v>-1.8686713313188701</v>
      </c>
    </row>
    <row r="1671" spans="1:9" x14ac:dyDescent="0.3">
      <c r="A1671" s="1">
        <v>42601</v>
      </c>
      <c r="B1671" t="s">
        <v>0</v>
      </c>
      <c r="C1671">
        <v>775.419983</v>
      </c>
      <c r="D1671" s="2">
        <f t="shared" si="157"/>
        <v>-2.675263022508036E-3</v>
      </c>
      <c r="E1671" s="2">
        <f t="shared" ca="1" si="158"/>
        <v>-1.3283721181334101</v>
      </c>
      <c r="F1671">
        <f t="shared" ca="1" si="159"/>
        <v>-1.3296702434668239</v>
      </c>
      <c r="G1671" s="3">
        <f t="shared" ref="G1671:G1734" ca="1" si="162">SQRT($N$6+$N$7*(H1670^2)+$N$8*(G1670^2))</f>
        <v>1.7399830615224054</v>
      </c>
      <c r="H1671">
        <f t="shared" ca="1" si="160"/>
        <v>-0.76418574000566619</v>
      </c>
      <c r="I1671">
        <f t="shared" ca="1" si="161"/>
        <v>-0.56986599654090342</v>
      </c>
    </row>
    <row r="1672" spans="1:9" x14ac:dyDescent="0.3">
      <c r="A1672" s="1">
        <v>42604</v>
      </c>
      <c r="B1672" t="s">
        <v>0</v>
      </c>
      <c r="C1672">
        <v>772.15002400000003</v>
      </c>
      <c r="D1672" s="2">
        <f t="shared" si="157"/>
        <v>-4.2170166770127866E-3</v>
      </c>
      <c r="E1672" s="2">
        <f t="shared" ca="1" si="158"/>
        <v>-2.1262111562398234</v>
      </c>
      <c r="F1672">
        <f t="shared" ca="1" si="159"/>
        <v>-2.1234893116002369</v>
      </c>
      <c r="G1672" s="3">
        <f t="shared" ca="1" si="162"/>
        <v>1.7382954407416253</v>
      </c>
      <c r="H1672">
        <f t="shared" ca="1" si="160"/>
        <v>-1.2215928672598213</v>
      </c>
      <c r="I1672">
        <f t="shared" ca="1" si="161"/>
        <v>-1.5061252185007223</v>
      </c>
    </row>
    <row r="1673" spans="1:9" x14ac:dyDescent="0.3">
      <c r="A1673" s="1">
        <v>42605</v>
      </c>
      <c r="B1673" t="s">
        <v>0</v>
      </c>
      <c r="C1673">
        <v>772.080017</v>
      </c>
      <c r="D1673" s="2">
        <f t="shared" si="157"/>
        <v>-9.0665023407462004E-5</v>
      </c>
      <c r="E1673" s="2">
        <f t="shared" ca="1" si="158"/>
        <v>1.2045297433638138</v>
      </c>
      <c r="F1673">
        <f t="shared" ca="1" si="159"/>
        <v>1.2074529894487882</v>
      </c>
      <c r="G1673" s="3">
        <f t="shared" ca="1" si="162"/>
        <v>1.7429067372032925</v>
      </c>
      <c r="H1673">
        <f t="shared" ca="1" si="160"/>
        <v>0.69278118196174654</v>
      </c>
      <c r="I1673">
        <f t="shared" ca="1" si="161"/>
        <v>-0.37702635294459563</v>
      </c>
    </row>
    <row r="1674" spans="1:9" x14ac:dyDescent="0.3">
      <c r="A1674" s="1">
        <v>42606</v>
      </c>
      <c r="B1674" t="s">
        <v>0</v>
      </c>
      <c r="C1674">
        <v>769.64001499999995</v>
      </c>
      <c r="D1674" s="2">
        <f t="shared" si="157"/>
        <v>-3.1602967908442182E-3</v>
      </c>
      <c r="E1674" s="2">
        <f t="shared" ca="1" si="158"/>
        <v>0.36855112442904464</v>
      </c>
      <c r="F1674">
        <f t="shared" ca="1" si="159"/>
        <v>0.37120407996466431</v>
      </c>
      <c r="G1674" s="3">
        <f t="shared" ca="1" si="162"/>
        <v>1.7404590006310314</v>
      </c>
      <c r="H1674">
        <f t="shared" ca="1" si="160"/>
        <v>0.21327941642410322</v>
      </c>
      <c r="I1674">
        <f t="shared" ca="1" si="161"/>
        <v>1.9819340916777377</v>
      </c>
    </row>
    <row r="1675" spans="1:9" x14ac:dyDescent="0.3">
      <c r="A1675" s="1">
        <v>42607</v>
      </c>
      <c r="B1675" t="s">
        <v>0</v>
      </c>
      <c r="C1675">
        <v>769.40997300000004</v>
      </c>
      <c r="D1675" s="2">
        <f t="shared" si="157"/>
        <v>-2.9889558172194587E-4</v>
      </c>
      <c r="E1675" s="2">
        <f t="shared" ca="1" si="158"/>
        <v>-2.9060205293111623</v>
      </c>
      <c r="F1675">
        <f t="shared" ca="1" si="159"/>
        <v>-2.9050217812155479</v>
      </c>
      <c r="G1675" s="3">
        <f t="shared" ca="1" si="162"/>
        <v>1.7350384455413035</v>
      </c>
      <c r="H1675">
        <f t="shared" ca="1" si="160"/>
        <v>-1.6743270379286777</v>
      </c>
      <c r="I1675">
        <f t="shared" ca="1" si="161"/>
        <v>-2.1328817868110894</v>
      </c>
    </row>
    <row r="1676" spans="1:9" x14ac:dyDescent="0.3">
      <c r="A1676" s="1">
        <v>42608</v>
      </c>
      <c r="B1676" t="s">
        <v>0</v>
      </c>
      <c r="C1676">
        <v>769.53997800000002</v>
      </c>
      <c r="D1676" s="2">
        <f t="shared" si="157"/>
        <v>1.6896713658789918E-4</v>
      </c>
      <c r="E1676" s="2">
        <f t="shared" ca="1" si="158"/>
        <v>-0.77051228825929374</v>
      </c>
      <c r="F1676">
        <f t="shared" ca="1" si="159"/>
        <v>-0.76845526155104005</v>
      </c>
      <c r="G1676" s="3">
        <f t="shared" ca="1" si="162"/>
        <v>1.7487420698700704</v>
      </c>
      <c r="H1676">
        <f t="shared" ca="1" si="160"/>
        <v>-0.43943316443924485</v>
      </c>
      <c r="I1676">
        <f t="shared" ca="1" si="161"/>
        <v>0.52674581762571482</v>
      </c>
    </row>
    <row r="1677" spans="1:9" x14ac:dyDescent="0.3">
      <c r="A1677" s="1">
        <v>42611</v>
      </c>
      <c r="B1677" t="s">
        <v>0</v>
      </c>
      <c r="C1677">
        <v>772.15002400000003</v>
      </c>
      <c r="D1677" s="2">
        <f t="shared" si="157"/>
        <v>3.3916964350356482E-3</v>
      </c>
      <c r="E1677" s="2">
        <f t="shared" ca="1" si="158"/>
        <v>-2.8844859730610035</v>
      </c>
      <c r="F1677">
        <f t="shared" ca="1" si="159"/>
        <v>-2.8843502319300254</v>
      </c>
      <c r="G1677" s="3">
        <f t="shared" ca="1" si="162"/>
        <v>1.7442379655255336</v>
      </c>
      <c r="H1677">
        <f t="shared" ca="1" si="160"/>
        <v>-1.6536449090884107</v>
      </c>
      <c r="I1677">
        <f t="shared" ca="1" si="161"/>
        <v>-2.1186006861165829</v>
      </c>
    </row>
    <row r="1678" spans="1:9" x14ac:dyDescent="0.3">
      <c r="A1678" s="1">
        <v>42612</v>
      </c>
      <c r="B1678" t="s">
        <v>0</v>
      </c>
      <c r="C1678">
        <v>769.09002699999996</v>
      </c>
      <c r="D1678" s="2">
        <f t="shared" si="157"/>
        <v>-3.9629565562249681E-3</v>
      </c>
      <c r="E1678" s="2">
        <f t="shared" ca="1" si="158"/>
        <v>3.2365586945276075</v>
      </c>
      <c r="F1678">
        <f t="shared" ca="1" si="159"/>
        <v>3.2354421925878363</v>
      </c>
      <c r="G1678" s="3">
        <f t="shared" ca="1" si="162"/>
        <v>1.7572600055122429</v>
      </c>
      <c r="H1678">
        <f t="shared" ca="1" si="160"/>
        <v>1.8411858133906041</v>
      </c>
      <c r="I1678">
        <f t="shared" ca="1" si="161"/>
        <v>-2.3483327177705164</v>
      </c>
    </row>
    <row r="1679" spans="1:9" x14ac:dyDescent="0.3">
      <c r="A1679" s="1">
        <v>42613</v>
      </c>
      <c r="B1679" t="s">
        <v>0</v>
      </c>
      <c r="C1679">
        <v>767.04998799999998</v>
      </c>
      <c r="D1679" s="2">
        <f t="shared" si="157"/>
        <v>-2.6525360209877992E-3</v>
      </c>
      <c r="E1679" s="2">
        <f t="shared" ca="1" si="158"/>
        <v>-2.7637327440757344E-2</v>
      </c>
      <c r="F1679">
        <f t="shared" ca="1" si="159"/>
        <v>-2.8567708922990886E-2</v>
      </c>
      <c r="G1679" s="3">
        <f t="shared" ca="1" si="162"/>
        <v>1.774434225588192</v>
      </c>
      <c r="H1679">
        <f t="shared" ca="1" si="160"/>
        <v>-1.6099615590722288E-2</v>
      </c>
      <c r="I1679">
        <f t="shared" ca="1" si="161"/>
        <v>7.1023352352019833</v>
      </c>
    </row>
    <row r="1680" spans="1:9" x14ac:dyDescent="0.3">
      <c r="A1680" s="1">
        <v>42614</v>
      </c>
      <c r="B1680" t="s">
        <v>0</v>
      </c>
      <c r="C1680">
        <v>768.78002900000001</v>
      </c>
      <c r="D1680" s="2">
        <f t="shared" si="157"/>
        <v>2.2554475289295337E-3</v>
      </c>
      <c r="E1680" s="2">
        <f t="shared" ca="1" si="158"/>
        <v>8.2565425969061246E-2</v>
      </c>
      <c r="F1680">
        <f t="shared" ca="1" si="159"/>
        <v>8.5824040501095905E-2</v>
      </c>
      <c r="G1680" s="3">
        <f t="shared" ca="1" si="162"/>
        <v>1.7682943563884834</v>
      </c>
      <c r="H1680">
        <f t="shared" ca="1" si="160"/>
        <v>4.8534928696136653E-2</v>
      </c>
      <c r="I1680">
        <f t="shared" ca="1" si="161"/>
        <v>4.9102216054843373</v>
      </c>
    </row>
    <row r="1681" spans="1:9" x14ac:dyDescent="0.3">
      <c r="A1681" s="1">
        <v>42615</v>
      </c>
      <c r="B1681" t="s">
        <v>0</v>
      </c>
      <c r="C1681">
        <v>771.46002199999998</v>
      </c>
      <c r="D1681" s="2">
        <f t="shared" si="157"/>
        <v>3.4860335842568663E-3</v>
      </c>
      <c r="E1681" s="2">
        <f t="shared" ca="1" si="158"/>
        <v>5.7137556697877068E-2</v>
      </c>
      <c r="F1681">
        <f t="shared" ca="1" si="159"/>
        <v>5.8116785612586298E-2</v>
      </c>
      <c r="G1681" s="3">
        <f t="shared" ca="1" si="162"/>
        <v>1.7622417426869454</v>
      </c>
      <c r="H1681">
        <f t="shared" ca="1" si="160"/>
        <v>3.2978895122512425E-2</v>
      </c>
      <c r="I1681">
        <f t="shared" ca="1" si="161"/>
        <v>5.6870035056299804</v>
      </c>
    </row>
    <row r="1682" spans="1:9" x14ac:dyDescent="0.3">
      <c r="A1682" s="1">
        <v>42619</v>
      </c>
      <c r="B1682" t="s">
        <v>0</v>
      </c>
      <c r="C1682">
        <v>780.080017</v>
      </c>
      <c r="D1682" s="2">
        <f t="shared" si="157"/>
        <v>1.1173612052705976E-2</v>
      </c>
      <c r="E1682" s="2">
        <f t="shared" ca="1" si="158"/>
        <v>-0.11411888183049081</v>
      </c>
      <c r="F1682">
        <f t="shared" ca="1" si="159"/>
        <v>-0.11656275629807256</v>
      </c>
      <c r="G1682" s="3">
        <f t="shared" ca="1" si="162"/>
        <v>1.7562525961343418</v>
      </c>
      <c r="H1682">
        <f t="shared" ca="1" si="160"/>
        <v>-6.6370154586325961E-2</v>
      </c>
      <c r="I1682">
        <f t="shared" ca="1" si="161"/>
        <v>4.2894619553089273</v>
      </c>
    </row>
    <row r="1683" spans="1:9" x14ac:dyDescent="0.3">
      <c r="A1683" s="1">
        <v>42620</v>
      </c>
      <c r="B1683" t="s">
        <v>0</v>
      </c>
      <c r="C1683">
        <v>780.34997599999997</v>
      </c>
      <c r="D1683" s="2">
        <f t="shared" si="157"/>
        <v>3.4606578058257276E-4</v>
      </c>
      <c r="E1683" s="2">
        <f t="shared" ca="1" si="158"/>
        <v>-0.6739959571936639</v>
      </c>
      <c r="F1683">
        <f t="shared" ca="1" si="159"/>
        <v>-0.6794982837550283</v>
      </c>
      <c r="G1683" s="3">
        <f t="shared" ca="1" si="162"/>
        <v>1.7503577601295277</v>
      </c>
      <c r="H1683">
        <f t="shared" ca="1" si="160"/>
        <v>-0.38820537105782588</v>
      </c>
      <c r="I1683">
        <f t="shared" ca="1" si="161"/>
        <v>0.77280088289946924</v>
      </c>
    </row>
    <row r="1684" spans="1:9" x14ac:dyDescent="0.3">
      <c r="A1684" s="1">
        <v>42621</v>
      </c>
      <c r="B1684" t="s">
        <v>0</v>
      </c>
      <c r="C1684">
        <v>775.32000700000003</v>
      </c>
      <c r="D1684" s="2">
        <f t="shared" si="157"/>
        <v>-6.445786063559689E-3</v>
      </c>
      <c r="E1684" s="2">
        <f t="shared" ca="1" si="158"/>
        <v>0.85045052820558109</v>
      </c>
      <c r="F1684">
        <f t="shared" ca="1" si="159"/>
        <v>0.84338957202291676</v>
      </c>
      <c r="G1684" s="3">
        <f t="shared" ca="1" si="162"/>
        <v>1.7455411734355717</v>
      </c>
      <c r="H1684">
        <f t="shared" ca="1" si="160"/>
        <v>0.48316796238209525</v>
      </c>
      <c r="I1684">
        <f t="shared" ca="1" si="161"/>
        <v>0.34059419282653475</v>
      </c>
    </row>
    <row r="1685" spans="1:9" x14ac:dyDescent="0.3">
      <c r="A1685" s="1">
        <v>42622</v>
      </c>
      <c r="B1685" t="s">
        <v>0</v>
      </c>
      <c r="C1685">
        <v>759.65997300000004</v>
      </c>
      <c r="D1685" s="2">
        <f t="shared" si="157"/>
        <v>-2.0198155417908616E-2</v>
      </c>
      <c r="E1685" s="2">
        <f t="shared" ca="1" si="158"/>
        <v>4.3877034056740429</v>
      </c>
      <c r="F1685">
        <f t="shared" ca="1" si="159"/>
        <v>4.3894098222966758</v>
      </c>
      <c r="G1685" s="3">
        <f t="shared" ca="1" si="162"/>
        <v>1.7413564020967129</v>
      </c>
      <c r="H1685">
        <f t="shared" ca="1" si="160"/>
        <v>2.520684345267588</v>
      </c>
      <c r="I1685">
        <f t="shared" ca="1" si="161"/>
        <v>-2.9584107368324828</v>
      </c>
    </row>
    <row r="1686" spans="1:9" x14ac:dyDescent="0.3">
      <c r="A1686" s="1">
        <v>42625</v>
      </c>
      <c r="B1686" t="s">
        <v>0</v>
      </c>
      <c r="C1686">
        <v>769.02002000000005</v>
      </c>
      <c r="D1686" s="2">
        <f t="shared" si="157"/>
        <v>1.232136394265439E-2</v>
      </c>
      <c r="E1686" s="2">
        <f t="shared" ca="1" si="158"/>
        <v>1.8503551085047103</v>
      </c>
      <c r="F1686">
        <f t="shared" ca="1" si="159"/>
        <v>1.8603912701093144</v>
      </c>
      <c r="G1686" s="3">
        <f t="shared" ca="1" si="162"/>
        <v>1.7790643697133126</v>
      </c>
      <c r="H1686">
        <f t="shared" ca="1" si="160"/>
        <v>1.045713298394654</v>
      </c>
      <c r="I1686">
        <f t="shared" ca="1" si="161"/>
        <v>-1.241617515828662</v>
      </c>
    </row>
    <row r="1687" spans="1:9" x14ac:dyDescent="0.3">
      <c r="A1687" s="1">
        <v>42626</v>
      </c>
      <c r="B1687" t="s">
        <v>0</v>
      </c>
      <c r="C1687">
        <v>759.69000200000005</v>
      </c>
      <c r="D1687" s="2">
        <f t="shared" si="157"/>
        <v>-1.213234734773224E-2</v>
      </c>
      <c r="E1687" s="2">
        <f t="shared" ca="1" si="158"/>
        <v>1.3679780651372042</v>
      </c>
      <c r="F1687">
        <f t="shared" ca="1" si="159"/>
        <v>1.3768815849075544</v>
      </c>
      <c r="G1687" s="3">
        <f t="shared" ca="1" si="162"/>
        <v>1.7802655315828126</v>
      </c>
      <c r="H1687">
        <f t="shared" ca="1" si="160"/>
        <v>0.77341360627444466</v>
      </c>
      <c r="I1687">
        <f t="shared" ca="1" si="161"/>
        <v>-0.63972008408987724</v>
      </c>
    </row>
    <row r="1688" spans="1:9" x14ac:dyDescent="0.3">
      <c r="A1688" s="1">
        <v>42627</v>
      </c>
      <c r="B1688" t="s">
        <v>0</v>
      </c>
      <c r="C1688">
        <v>762.48999000000003</v>
      </c>
      <c r="D1688" s="2">
        <f t="shared" si="157"/>
        <v>3.6856981040010906E-3</v>
      </c>
      <c r="E1688" s="2">
        <f t="shared" ca="1" si="158"/>
        <v>0.30850900363806638</v>
      </c>
      <c r="F1688">
        <f t="shared" ca="1" si="159"/>
        <v>0.30445397769162458</v>
      </c>
      <c r="G1688" s="3">
        <f t="shared" ca="1" si="162"/>
        <v>1.7781025299918427</v>
      </c>
      <c r="H1688">
        <f t="shared" ca="1" si="160"/>
        <v>0.17122408441374937</v>
      </c>
      <c r="I1688">
        <f t="shared" ca="1" si="161"/>
        <v>2.3783241341754247</v>
      </c>
    </row>
    <row r="1689" spans="1:9" x14ac:dyDescent="0.3">
      <c r="A1689" s="1">
        <v>42628</v>
      </c>
      <c r="B1689" t="s">
        <v>0</v>
      </c>
      <c r="C1689">
        <v>771.76000999999997</v>
      </c>
      <c r="D1689" s="2">
        <f t="shared" si="157"/>
        <v>1.2157562881579509E-2</v>
      </c>
      <c r="E1689" s="2">
        <f t="shared" ca="1" si="158"/>
        <v>0.67101039185637079</v>
      </c>
      <c r="F1689">
        <f t="shared" ca="1" si="159"/>
        <v>0.67746621668634954</v>
      </c>
      <c r="G1689" s="3">
        <f t="shared" ca="1" si="162"/>
        <v>1.7721162431242325</v>
      </c>
      <c r="H1689">
        <f t="shared" ca="1" si="160"/>
        <v>0.38229219968774725</v>
      </c>
      <c r="I1689">
        <f t="shared" ca="1" si="161"/>
        <v>0.77846913839089593</v>
      </c>
    </row>
    <row r="1690" spans="1:9" x14ac:dyDescent="0.3">
      <c r="A1690" s="1">
        <v>42629</v>
      </c>
      <c r="B1690" t="s">
        <v>0</v>
      </c>
      <c r="C1690">
        <v>768.88000499999998</v>
      </c>
      <c r="D1690" s="2">
        <f t="shared" si="157"/>
        <v>-3.7317365018692573E-3</v>
      </c>
      <c r="E1690" s="2">
        <f t="shared" ca="1" si="158"/>
        <v>0.81959304090347052</v>
      </c>
      <c r="F1690">
        <f t="shared" ca="1" si="159"/>
        <v>0.8136730037726313</v>
      </c>
      <c r="G1690" s="3">
        <f t="shared" ca="1" si="162"/>
        <v>1.7669964608540234</v>
      </c>
      <c r="H1690">
        <f t="shared" ca="1" si="160"/>
        <v>0.46048366354925663</v>
      </c>
      <c r="I1690">
        <f t="shared" ca="1" si="161"/>
        <v>0.41237238389918968</v>
      </c>
    </row>
    <row r="1691" spans="1:9" x14ac:dyDescent="0.3">
      <c r="A1691" s="1">
        <v>42632</v>
      </c>
      <c r="B1691" t="s">
        <v>0</v>
      </c>
      <c r="C1691">
        <v>765.70001200000002</v>
      </c>
      <c r="D1691" s="2">
        <f t="shared" si="157"/>
        <v>-4.1358768329525846E-3</v>
      </c>
      <c r="E1691" s="2">
        <f t="shared" ca="1" si="158"/>
        <v>-0.70918085075191495</v>
      </c>
      <c r="F1691">
        <f t="shared" ca="1" si="159"/>
        <v>-0.71563865015236838</v>
      </c>
      <c r="G1691" s="3">
        <f t="shared" ca="1" si="162"/>
        <v>1.7623898541737888</v>
      </c>
      <c r="H1691">
        <f t="shared" ca="1" si="160"/>
        <v>-0.40606149000322117</v>
      </c>
      <c r="I1691">
        <f t="shared" ca="1" si="161"/>
        <v>0.66912643585690434</v>
      </c>
    </row>
    <row r="1692" spans="1:9" x14ac:dyDescent="0.3">
      <c r="A1692" s="1">
        <v>42633</v>
      </c>
      <c r="B1692" t="s">
        <v>0</v>
      </c>
      <c r="C1692">
        <v>771.40997300000004</v>
      </c>
      <c r="D1692" s="2">
        <f t="shared" si="157"/>
        <v>7.4571776289850981E-3</v>
      </c>
      <c r="E1692" s="2">
        <f t="shared" ca="1" si="158"/>
        <v>0.60834673437618547</v>
      </c>
      <c r="F1692">
        <f t="shared" ca="1" si="159"/>
        <v>0.61190364991062729</v>
      </c>
      <c r="G1692" s="3">
        <f t="shared" ca="1" si="162"/>
        <v>1.7575194105268563</v>
      </c>
      <c r="H1692">
        <f t="shared" ca="1" si="160"/>
        <v>0.34816323862232357</v>
      </c>
      <c r="I1692">
        <f t="shared" ca="1" si="161"/>
        <v>0.98221236800274236</v>
      </c>
    </row>
    <row r="1693" spans="1:9" x14ac:dyDescent="0.3">
      <c r="A1693" s="1">
        <v>42634</v>
      </c>
      <c r="B1693" t="s">
        <v>0</v>
      </c>
      <c r="C1693">
        <v>776.21997099999999</v>
      </c>
      <c r="D1693" s="2">
        <f t="shared" si="157"/>
        <v>6.2353329206957893E-3</v>
      </c>
      <c r="E1693" s="2">
        <f t="shared" ca="1" si="158"/>
        <v>-0.69110872470471763</v>
      </c>
      <c r="F1693">
        <f t="shared" ca="1" si="159"/>
        <v>-0.69075680051177069</v>
      </c>
      <c r="G1693" s="3">
        <f t="shared" ca="1" si="162"/>
        <v>1.7524107327200786</v>
      </c>
      <c r="H1693">
        <f t="shared" ca="1" si="160"/>
        <v>-0.3941751711595507</v>
      </c>
      <c r="I1693">
        <f t="shared" ca="1" si="161"/>
        <v>0.73985345686344384</v>
      </c>
    </row>
    <row r="1694" spans="1:9" x14ac:dyDescent="0.3">
      <c r="A1694" s="1">
        <v>42635</v>
      </c>
      <c r="B1694" t="s">
        <v>0</v>
      </c>
      <c r="C1694">
        <v>787.21002199999998</v>
      </c>
      <c r="D1694" s="2">
        <f t="shared" si="157"/>
        <v>1.4158423398771318E-2</v>
      </c>
      <c r="E1694" s="2">
        <f t="shared" ca="1" si="158"/>
        <v>-2.4565274949362506</v>
      </c>
      <c r="F1694">
        <f t="shared" ca="1" si="159"/>
        <v>-2.4630302156074046</v>
      </c>
      <c r="G1694" s="3">
        <f t="shared" ca="1" si="162"/>
        <v>1.7476004729358403</v>
      </c>
      <c r="H1694">
        <f t="shared" ca="1" si="160"/>
        <v>-1.4093783183004609</v>
      </c>
      <c r="I1694">
        <f t="shared" ca="1" si="161"/>
        <v>-1.802817817564164</v>
      </c>
    </row>
    <row r="1695" spans="1:9" x14ac:dyDescent="0.3">
      <c r="A1695" s="1">
        <v>42636</v>
      </c>
      <c r="B1695" t="s">
        <v>0</v>
      </c>
      <c r="C1695">
        <v>786.90002400000003</v>
      </c>
      <c r="D1695" s="2">
        <f t="shared" si="157"/>
        <v>-3.9379325889724319E-4</v>
      </c>
      <c r="E1695" s="2">
        <f t="shared" ca="1" si="158"/>
        <v>0.18239784715739762</v>
      </c>
      <c r="F1695">
        <f t="shared" ca="1" si="159"/>
        <v>0.17429357338822479</v>
      </c>
      <c r="G1695" s="3">
        <f t="shared" ca="1" si="162"/>
        <v>1.7554316097745661</v>
      </c>
      <c r="H1695">
        <f t="shared" ca="1" si="160"/>
        <v>9.9288159343677143E-2</v>
      </c>
      <c r="I1695">
        <f t="shared" ca="1" si="161"/>
        <v>3.4940232914892659</v>
      </c>
    </row>
    <row r="1696" spans="1:9" x14ac:dyDescent="0.3">
      <c r="A1696" s="1">
        <v>42639</v>
      </c>
      <c r="B1696" t="s">
        <v>0</v>
      </c>
      <c r="C1696">
        <v>774.21002199999998</v>
      </c>
      <c r="D1696" s="2">
        <f t="shared" si="157"/>
        <v>-1.6126574676531016E-2</v>
      </c>
      <c r="E1696" s="2">
        <f t="shared" ca="1" si="158"/>
        <v>2.1054666028203806</v>
      </c>
      <c r="F1696">
        <f t="shared" ca="1" si="159"/>
        <v>2.0967676148656866</v>
      </c>
      <c r="G1696" s="3">
        <f t="shared" ca="1" si="162"/>
        <v>1.7495840634874311</v>
      </c>
      <c r="H1696">
        <f t="shared" ca="1" si="160"/>
        <v>1.1984377650801286</v>
      </c>
      <c r="I1696">
        <f t="shared" ca="1" si="161"/>
        <v>-1.4808530096981876</v>
      </c>
    </row>
    <row r="1697" spans="1:9" x14ac:dyDescent="0.3">
      <c r="A1697" s="1">
        <v>42640</v>
      </c>
      <c r="B1697" t="s">
        <v>0</v>
      </c>
      <c r="C1697">
        <v>783.01000999999997</v>
      </c>
      <c r="D1697" s="2">
        <f t="shared" si="157"/>
        <v>1.1366409307473398E-2</v>
      </c>
      <c r="E1697" s="2">
        <f t="shared" ca="1" si="158"/>
        <v>-2.4607947986590504</v>
      </c>
      <c r="F1697">
        <f t="shared" ca="1" si="159"/>
        <v>-2.455741197654012</v>
      </c>
      <c r="G1697" s="3">
        <f t="shared" ca="1" si="162"/>
        <v>1.7536101035210669</v>
      </c>
      <c r="H1697">
        <f t="shared" ca="1" si="160"/>
        <v>-1.4003917933200423</v>
      </c>
      <c r="I1697">
        <f t="shared" ca="1" si="161"/>
        <v>-1.7968786814232958</v>
      </c>
    </row>
    <row r="1698" spans="1:9" x14ac:dyDescent="0.3">
      <c r="A1698" s="1">
        <v>42641</v>
      </c>
      <c r="B1698" t="s">
        <v>0</v>
      </c>
      <c r="C1698">
        <v>781.55999799999995</v>
      </c>
      <c r="D1698" s="2">
        <f t="shared" si="157"/>
        <v>-1.8518435032522959E-3</v>
      </c>
      <c r="E1698" s="2">
        <f t="shared" ca="1" si="158"/>
        <v>1.9403570250492292</v>
      </c>
      <c r="F1698">
        <f t="shared" ca="1" si="159"/>
        <v>1.947009919406969</v>
      </c>
      <c r="G1698" s="3">
        <f t="shared" ca="1" si="162"/>
        <v>1.7611509081455268</v>
      </c>
      <c r="H1698">
        <f t="shared" ca="1" si="160"/>
        <v>1.1055327004641242</v>
      </c>
      <c r="I1698">
        <f t="shared" ca="1" si="161"/>
        <v>-1.3325905468135522</v>
      </c>
    </row>
    <row r="1699" spans="1:9" x14ac:dyDescent="0.3">
      <c r="A1699" s="1">
        <v>42642</v>
      </c>
      <c r="B1699" t="s">
        <v>0</v>
      </c>
      <c r="C1699">
        <v>775.01000999999997</v>
      </c>
      <c r="D1699" s="2">
        <f t="shared" si="157"/>
        <v>-8.3806592158776078E-3</v>
      </c>
      <c r="E1699" s="2">
        <f t="shared" ca="1" si="158"/>
        <v>-2.191226334753789</v>
      </c>
      <c r="F1699">
        <f t="shared" ca="1" si="159"/>
        <v>-2.1977520045604009</v>
      </c>
      <c r="G1699" s="3">
        <f t="shared" ca="1" si="162"/>
        <v>1.7635165374493544</v>
      </c>
      <c r="H1699">
        <f t="shared" ca="1" si="160"/>
        <v>-1.2462327162177331</v>
      </c>
      <c r="I1699">
        <f t="shared" ca="1" si="161"/>
        <v>-1.5748845848487385</v>
      </c>
    </row>
    <row r="1700" spans="1:9" x14ac:dyDescent="0.3">
      <c r="A1700" s="1">
        <v>42643</v>
      </c>
      <c r="B1700" t="s">
        <v>0</v>
      </c>
      <c r="C1700">
        <v>777.28997800000002</v>
      </c>
      <c r="D1700" s="2">
        <f t="shared" si="157"/>
        <v>2.9418561961542323E-3</v>
      </c>
      <c r="E1700" s="2">
        <f t="shared" ca="1" si="158"/>
        <v>-1.0278850219836091</v>
      </c>
      <c r="F1700">
        <f t="shared" ca="1" si="159"/>
        <v>-1.0242330622021742</v>
      </c>
      <c r="G1700" s="3">
        <f t="shared" ca="1" si="162"/>
        <v>1.7680935754865541</v>
      </c>
      <c r="H1700">
        <f t="shared" ca="1" si="160"/>
        <v>-0.57928668278788353</v>
      </c>
      <c r="I1700">
        <f t="shared" ca="1" si="161"/>
        <v>-4.78964508901129E-2</v>
      </c>
    </row>
    <row r="1701" spans="1:9" x14ac:dyDescent="0.3">
      <c r="A1701" s="1">
        <v>42646</v>
      </c>
      <c r="B1701" t="s">
        <v>0</v>
      </c>
      <c r="C1701">
        <v>772.55999799999995</v>
      </c>
      <c r="D1701" s="2">
        <f t="shared" si="157"/>
        <v>-6.0852193311053708E-3</v>
      </c>
      <c r="E1701" s="2">
        <f t="shared" ca="1" si="158"/>
        <v>1.7304156103073147</v>
      </c>
      <c r="F1701">
        <f t="shared" ca="1" si="159"/>
        <v>1.7347570592769022</v>
      </c>
      <c r="G1701" s="3">
        <f t="shared" ca="1" si="162"/>
        <v>1.7643146998863593</v>
      </c>
      <c r="H1701">
        <f t="shared" ca="1" si="160"/>
        <v>0.98324695667311457</v>
      </c>
      <c r="I1701">
        <f t="shared" ca="1" si="161"/>
        <v>-1.1017470650628047</v>
      </c>
    </row>
    <row r="1702" spans="1:9" x14ac:dyDescent="0.3">
      <c r="A1702" s="1">
        <v>42647</v>
      </c>
      <c r="B1702" t="s">
        <v>0</v>
      </c>
      <c r="C1702">
        <v>776.42999299999997</v>
      </c>
      <c r="D1702" s="2">
        <f t="shared" si="157"/>
        <v>5.0093132054709584E-3</v>
      </c>
      <c r="E1702" s="2">
        <f t="shared" ca="1" si="158"/>
        <v>-1.6586643709722957</v>
      </c>
      <c r="F1702">
        <f t="shared" ca="1" si="159"/>
        <v>-1.6586818530080247</v>
      </c>
      <c r="G1702" s="3">
        <f t="shared" ca="1" si="162"/>
        <v>1.7648892752744927</v>
      </c>
      <c r="H1702">
        <f t="shared" ca="1" si="160"/>
        <v>-0.93982204790158885</v>
      </c>
      <c r="I1702">
        <f t="shared" ca="1" si="161"/>
        <v>-1.0120555657008965</v>
      </c>
    </row>
    <row r="1703" spans="1:9" x14ac:dyDescent="0.3">
      <c r="A1703" s="1">
        <v>42648</v>
      </c>
      <c r="B1703" t="s">
        <v>0</v>
      </c>
      <c r="C1703">
        <v>776.46997099999999</v>
      </c>
      <c r="D1703" s="2">
        <f t="shared" si="157"/>
        <v>5.1489510143149723E-5</v>
      </c>
      <c r="E1703" s="2">
        <f t="shared" ca="1" si="158"/>
        <v>0.22744850199393804</v>
      </c>
      <c r="F1703">
        <f t="shared" ca="1" si="159"/>
        <v>0.22974414389746103</v>
      </c>
      <c r="G1703" s="3">
        <f t="shared" ca="1" si="162"/>
        <v>1.7648862939767835</v>
      </c>
      <c r="H1703">
        <f t="shared" ca="1" si="160"/>
        <v>0.13017503999069713</v>
      </c>
      <c r="I1703">
        <f t="shared" ca="1" si="161"/>
        <v>2.9415779639557549</v>
      </c>
    </row>
    <row r="1704" spans="1:9" x14ac:dyDescent="0.3">
      <c r="A1704" s="1">
        <v>42649</v>
      </c>
      <c r="B1704" t="s">
        <v>0</v>
      </c>
      <c r="C1704">
        <v>776.85998500000005</v>
      </c>
      <c r="D1704" s="2">
        <f t="shared" si="157"/>
        <v>5.022911568592582E-4</v>
      </c>
      <c r="E1704" s="2">
        <f t="shared" ca="1" si="158"/>
        <v>-0.63295413097159303</v>
      </c>
      <c r="F1704">
        <f t="shared" ca="1" si="159"/>
        <v>-0.6360887661549206</v>
      </c>
      <c r="G1704" s="3">
        <f t="shared" ca="1" si="162"/>
        <v>1.7589739727946698</v>
      </c>
      <c r="H1704">
        <f t="shared" ca="1" si="160"/>
        <v>-0.36162488814106697</v>
      </c>
      <c r="I1704">
        <f t="shared" ca="1" si="161"/>
        <v>0.90483368835367417</v>
      </c>
    </row>
    <row r="1705" spans="1:9" x14ac:dyDescent="0.3">
      <c r="A1705" s="1">
        <v>42650</v>
      </c>
      <c r="B1705" t="s">
        <v>0</v>
      </c>
      <c r="C1705">
        <v>775.080017</v>
      </c>
      <c r="D1705" s="2">
        <f t="shared" si="157"/>
        <v>-2.2912339860059255E-3</v>
      </c>
      <c r="E1705" s="2">
        <f t="shared" ca="1" si="158"/>
        <v>9.0039848710730494E-2</v>
      </c>
      <c r="F1705">
        <f t="shared" ca="1" si="159"/>
        <v>8.9858020498723518E-2</v>
      </c>
      <c r="G1705" s="3">
        <f t="shared" ca="1" si="162"/>
        <v>1.7539127155542436</v>
      </c>
      <c r="H1705">
        <f t="shared" ca="1" si="160"/>
        <v>5.1232891866188457E-2</v>
      </c>
      <c r="I1705">
        <f t="shared" ca="1" si="161"/>
        <v>4.8183986412150741</v>
      </c>
    </row>
    <row r="1706" spans="1:9" x14ac:dyDescent="0.3">
      <c r="A1706" s="1">
        <v>42653</v>
      </c>
      <c r="B1706" t="s">
        <v>0</v>
      </c>
      <c r="C1706">
        <v>785.94000200000005</v>
      </c>
      <c r="D1706" s="2">
        <f t="shared" si="157"/>
        <v>1.4011437221713396E-2</v>
      </c>
      <c r="E1706" s="2">
        <f t="shared" ca="1" si="158"/>
        <v>2.985940756875304</v>
      </c>
      <c r="F1706">
        <f t="shared" ca="1" si="159"/>
        <v>2.9863111486215002</v>
      </c>
      <c r="G1706" s="3">
        <f t="shared" ca="1" si="162"/>
        <v>1.7480336638626566</v>
      </c>
      <c r="H1706">
        <f t="shared" ca="1" si="160"/>
        <v>1.7083830880136501</v>
      </c>
      <c r="I1706">
        <f t="shared" ca="1" si="161"/>
        <v>-2.1880998061597685</v>
      </c>
    </row>
    <row r="1707" spans="1:9" x14ac:dyDescent="0.3">
      <c r="A1707" s="1">
        <v>42654</v>
      </c>
      <c r="B1707" t="s">
        <v>0</v>
      </c>
      <c r="C1707">
        <v>783.07000700000003</v>
      </c>
      <c r="D1707" s="2">
        <f t="shared" si="157"/>
        <v>-3.6516718740574002E-3</v>
      </c>
      <c r="E1707" s="2">
        <f t="shared" ca="1" si="158"/>
        <v>-1.095833022342253</v>
      </c>
      <c r="F1707">
        <f t="shared" ca="1" si="159"/>
        <v>-1.0985840048575641</v>
      </c>
      <c r="G1707" s="3">
        <f t="shared" ca="1" si="162"/>
        <v>1.7622256597610713</v>
      </c>
      <c r="H1707">
        <f t="shared" ca="1" si="160"/>
        <v>-0.6234071095108864</v>
      </c>
      <c r="I1707">
        <f t="shared" ca="1" si="161"/>
        <v>-0.18805521334965933</v>
      </c>
    </row>
    <row r="1708" spans="1:9" x14ac:dyDescent="0.3">
      <c r="A1708" s="1">
        <v>42655</v>
      </c>
      <c r="B1708" t="s">
        <v>0</v>
      </c>
      <c r="C1708">
        <v>786.14001499999995</v>
      </c>
      <c r="D1708" s="2">
        <f t="shared" si="157"/>
        <v>3.9204770615099242E-3</v>
      </c>
      <c r="E1708" s="2">
        <f t="shared" ca="1" si="158"/>
        <v>-3.2215598997559147</v>
      </c>
      <c r="F1708">
        <f t="shared" ca="1" si="159"/>
        <v>-3.2291959730909672</v>
      </c>
      <c r="G1708" s="3">
        <f t="shared" ca="1" si="162"/>
        <v>1.758886840971708</v>
      </c>
      <c r="H1708">
        <f t="shared" ca="1" si="160"/>
        <v>-1.8359316232685996</v>
      </c>
      <c r="I1708">
        <f t="shared" ca="1" si="161"/>
        <v>-2.3444678369873508</v>
      </c>
    </row>
    <row r="1709" spans="1:9" x14ac:dyDescent="0.3">
      <c r="A1709" s="1">
        <v>42656</v>
      </c>
      <c r="B1709" t="s">
        <v>0</v>
      </c>
      <c r="C1709">
        <v>778.19000200000005</v>
      </c>
      <c r="D1709" s="2">
        <f t="shared" si="157"/>
        <v>-1.011271891559915E-2</v>
      </c>
      <c r="E1709" s="2">
        <f t="shared" ca="1" si="158"/>
        <v>-2.8399683569930256</v>
      </c>
      <c r="F1709">
        <f t="shared" ca="1" si="159"/>
        <v>-2.8388634237461705</v>
      </c>
      <c r="G1709" s="3">
        <f t="shared" ca="1" si="162"/>
        <v>1.7758899638432912</v>
      </c>
      <c r="H1709">
        <f t="shared" ca="1" si="160"/>
        <v>-1.5985581773334907</v>
      </c>
      <c r="I1709">
        <f t="shared" ca="1" si="161"/>
        <v>-2.0868202278976211</v>
      </c>
    </row>
    <row r="1710" spans="1:9" x14ac:dyDescent="0.3">
      <c r="A1710" s="1">
        <v>42657</v>
      </c>
      <c r="B1710" t="s">
        <v>0</v>
      </c>
      <c r="C1710">
        <v>778.53002900000001</v>
      </c>
      <c r="D1710" s="2">
        <f t="shared" si="157"/>
        <v>4.3694598893081592E-4</v>
      </c>
      <c r="E1710" s="2">
        <f t="shared" ca="1" si="158"/>
        <v>-0.91388295916343398</v>
      </c>
      <c r="F1710">
        <f t="shared" ca="1" si="159"/>
        <v>-0.91330896399236883</v>
      </c>
      <c r="G1710" s="3">
        <f t="shared" ca="1" si="162"/>
        <v>1.7870008932054255</v>
      </c>
      <c r="H1710">
        <f t="shared" ca="1" si="160"/>
        <v>-0.511084783149786</v>
      </c>
      <c r="I1710">
        <f t="shared" ca="1" si="161"/>
        <v>0.18136187188210612</v>
      </c>
    </row>
    <row r="1711" spans="1:9" x14ac:dyDescent="0.3">
      <c r="A1711" s="1">
        <v>42660</v>
      </c>
      <c r="B1711" t="s">
        <v>0</v>
      </c>
      <c r="C1711">
        <v>779.96002199999998</v>
      </c>
      <c r="D1711" s="2">
        <f t="shared" si="157"/>
        <v>1.836785925697373E-3</v>
      </c>
      <c r="E1711" s="2">
        <f t="shared" ca="1" si="158"/>
        <v>-2.1234427609633029</v>
      </c>
      <c r="F1711">
        <f t="shared" ca="1" si="159"/>
        <v>-2.1172758864829602</v>
      </c>
      <c r="G1711" s="3">
        <f t="shared" ca="1" si="162"/>
        <v>1.7824725982829639</v>
      </c>
      <c r="H1711">
        <f t="shared" ca="1" si="160"/>
        <v>-1.1878308191231151</v>
      </c>
      <c r="I1711">
        <f t="shared" ca="1" si="161"/>
        <v>-1.5002613590160805</v>
      </c>
    </row>
    <row r="1712" spans="1:9" x14ac:dyDescent="0.3">
      <c r="A1712" s="1">
        <v>42661</v>
      </c>
      <c r="B1712" t="s">
        <v>0</v>
      </c>
      <c r="C1712">
        <v>795.26000999999997</v>
      </c>
      <c r="D1712" s="2">
        <f t="shared" si="157"/>
        <v>1.9616374645417385E-2</v>
      </c>
      <c r="E1712" s="2">
        <f t="shared" ca="1" si="158"/>
        <v>-2.179215430927167</v>
      </c>
      <c r="F1712">
        <f t="shared" ca="1" si="159"/>
        <v>-2.1800351818363013</v>
      </c>
      <c r="G1712" s="3">
        <f t="shared" ca="1" si="162"/>
        <v>1.7857570745406752</v>
      </c>
      <c r="H1712">
        <f t="shared" ca="1" si="160"/>
        <v>-1.2207904495615902</v>
      </c>
      <c r="I1712">
        <f t="shared" ca="1" si="161"/>
        <v>-1.5587629977108306</v>
      </c>
    </row>
    <row r="1713" spans="1:9" x14ac:dyDescent="0.3">
      <c r="A1713" s="1">
        <v>42662</v>
      </c>
      <c r="B1713" t="s">
        <v>0</v>
      </c>
      <c r="C1713">
        <v>801.5</v>
      </c>
      <c r="D1713" s="2">
        <f t="shared" si="157"/>
        <v>7.8464777827820555E-3</v>
      </c>
      <c r="E1713" s="2">
        <f t="shared" ca="1" si="158"/>
        <v>-1.6255282270855287</v>
      </c>
      <c r="F1713">
        <f t="shared" ca="1" si="159"/>
        <v>-1.6325209126041931</v>
      </c>
      <c r="G1713" s="3">
        <f t="shared" ca="1" si="162"/>
        <v>1.7895186986304226</v>
      </c>
      <c r="H1713">
        <f t="shared" ca="1" si="160"/>
        <v>-0.91226815000794059</v>
      </c>
      <c r="I1713">
        <f t="shared" ca="1" si="161"/>
        <v>-0.98027388557931483</v>
      </c>
    </row>
    <row r="1714" spans="1:9" x14ac:dyDescent="0.3">
      <c r="A1714" s="1">
        <v>42663</v>
      </c>
      <c r="B1714" t="s">
        <v>0</v>
      </c>
      <c r="C1714">
        <v>796.96997099999999</v>
      </c>
      <c r="D1714" s="2">
        <f t="shared" si="157"/>
        <v>-5.6519388646288377E-3</v>
      </c>
      <c r="E1714" s="2">
        <f t="shared" ca="1" si="158"/>
        <v>1.4554415834011134</v>
      </c>
      <c r="F1714">
        <f t="shared" ca="1" si="159"/>
        <v>1.440886983183389</v>
      </c>
      <c r="G1714" s="3">
        <f t="shared" ca="1" si="162"/>
        <v>1.7887989513411005</v>
      </c>
      <c r="H1714">
        <f t="shared" ca="1" si="160"/>
        <v>0.80550527050741261</v>
      </c>
      <c r="I1714">
        <f t="shared" ca="1" si="161"/>
        <v>-0.73053315534334073</v>
      </c>
    </row>
    <row r="1715" spans="1:9" x14ac:dyDescent="0.3">
      <c r="A1715" s="1">
        <v>42664</v>
      </c>
      <c r="B1715" t="s">
        <v>0</v>
      </c>
      <c r="C1715">
        <v>799.36999500000002</v>
      </c>
      <c r="D1715" s="2">
        <f t="shared" si="157"/>
        <v>3.0114359227218996E-3</v>
      </c>
      <c r="E1715" s="2">
        <f t="shared" ca="1" si="158"/>
        <v>-1.4031115260430964</v>
      </c>
      <c r="F1715">
        <f t="shared" ca="1" si="159"/>
        <v>-1.4063122890055182</v>
      </c>
      <c r="G1715" s="3">
        <f t="shared" ca="1" si="162"/>
        <v>1.786856822176397</v>
      </c>
      <c r="H1715">
        <f t="shared" ca="1" si="160"/>
        <v>-0.78703132313232893</v>
      </c>
      <c r="I1715">
        <f t="shared" ca="1" si="161"/>
        <v>-0.68194634625554873</v>
      </c>
    </row>
    <row r="1716" spans="1:9" x14ac:dyDescent="0.3">
      <c r="A1716" s="1">
        <v>42667</v>
      </c>
      <c r="B1716" t="s">
        <v>0</v>
      </c>
      <c r="C1716">
        <v>813.10998500000005</v>
      </c>
      <c r="D1716" s="2">
        <f t="shared" si="157"/>
        <v>1.7188523569739485E-2</v>
      </c>
      <c r="E1716" s="2">
        <f t="shared" ca="1" si="158"/>
        <v>-1.2614345927535808</v>
      </c>
      <c r="F1716">
        <f t="shared" ca="1" si="159"/>
        <v>-1.2588130552055214</v>
      </c>
      <c r="G1716" s="3">
        <f t="shared" ca="1" si="162"/>
        <v>1.7847442101683186</v>
      </c>
      <c r="H1716">
        <f t="shared" ca="1" si="160"/>
        <v>-0.7053184697468794</v>
      </c>
      <c r="I1716">
        <f t="shared" ca="1" si="161"/>
        <v>-0.46052496129894482</v>
      </c>
    </row>
    <row r="1717" spans="1:9" x14ac:dyDescent="0.3">
      <c r="A1717" s="1">
        <v>42668</v>
      </c>
      <c r="B1717" t="s">
        <v>0</v>
      </c>
      <c r="C1717">
        <v>807.669983</v>
      </c>
      <c r="D1717" s="2">
        <f t="shared" si="157"/>
        <v>-6.6903642807928983E-3</v>
      </c>
      <c r="E1717" s="2">
        <f t="shared" ca="1" si="158"/>
        <v>-2.1135578835967817</v>
      </c>
      <c r="F1717">
        <f t="shared" ca="1" si="159"/>
        <v>-2.1205581185039684</v>
      </c>
      <c r="G1717" s="3">
        <f t="shared" ca="1" si="162"/>
        <v>1.7818391204946826</v>
      </c>
      <c r="H1717">
        <f t="shared" ca="1" si="160"/>
        <v>-1.1900951629770307</v>
      </c>
      <c r="I1717">
        <f t="shared" ca="1" si="161"/>
        <v>-1.5033685889980659</v>
      </c>
    </row>
    <row r="1718" spans="1:9" x14ac:dyDescent="0.3">
      <c r="A1718" s="1">
        <v>42669</v>
      </c>
      <c r="B1718" t="s">
        <v>0</v>
      </c>
      <c r="C1718">
        <v>799.07000700000003</v>
      </c>
      <c r="D1718" s="2">
        <f t="shared" si="157"/>
        <v>-1.0647883641851241E-2</v>
      </c>
      <c r="E1718" s="2">
        <f t="shared" ca="1" si="158"/>
        <v>1.0050757346716452</v>
      </c>
      <c r="F1718">
        <f t="shared" ca="1" si="159"/>
        <v>0.99636733321950999</v>
      </c>
      <c r="G1718" s="3">
        <f t="shared" ca="1" si="162"/>
        <v>1.7851706811060739</v>
      </c>
      <c r="H1718">
        <f t="shared" ca="1" si="160"/>
        <v>0.55813561345415486</v>
      </c>
      <c r="I1718">
        <f t="shared" ca="1" si="161"/>
        <v>7.1643562134871587E-3</v>
      </c>
    </row>
    <row r="1719" spans="1:9" x14ac:dyDescent="0.3">
      <c r="A1719" s="1">
        <v>42670</v>
      </c>
      <c r="B1719" t="s">
        <v>0</v>
      </c>
      <c r="C1719">
        <v>795.34997599999997</v>
      </c>
      <c r="D1719" s="2">
        <f t="shared" si="157"/>
        <v>-4.6554506706695383E-3</v>
      </c>
      <c r="E1719" s="2">
        <f t="shared" ca="1" si="158"/>
        <v>-1.079918099925546</v>
      </c>
      <c r="F1719">
        <f t="shared" ca="1" si="159"/>
        <v>-1.0725772012643087</v>
      </c>
      <c r="G1719" s="3">
        <f t="shared" ca="1" si="162"/>
        <v>1.7810053142951625</v>
      </c>
      <c r="H1719">
        <f t="shared" ca="1" si="160"/>
        <v>-0.60223133117869665</v>
      </c>
      <c r="I1719">
        <f t="shared" ca="1" si="161"/>
        <v>-0.14014754288875064</v>
      </c>
    </row>
    <row r="1720" spans="1:9" x14ac:dyDescent="0.3">
      <c r="A1720" s="1">
        <v>42671</v>
      </c>
      <c r="B1720" t="s">
        <v>0</v>
      </c>
      <c r="C1720">
        <v>795.36999500000002</v>
      </c>
      <c r="D1720" s="2">
        <f t="shared" si="157"/>
        <v>2.5170051680554182E-5</v>
      </c>
      <c r="E1720" s="2">
        <f t="shared" ca="1" si="158"/>
        <v>-0.11809483913089196</v>
      </c>
      <c r="F1720">
        <f t="shared" ca="1" si="159"/>
        <v>-0.11007634264926748</v>
      </c>
      <c r="G1720" s="3">
        <f t="shared" ca="1" si="162"/>
        <v>1.7772401340064168</v>
      </c>
      <c r="H1720">
        <f t="shared" ca="1" si="160"/>
        <v>-6.1936673915372005E-2</v>
      </c>
      <c r="I1720">
        <f t="shared" ca="1" si="161"/>
        <v>4.4131622073722525</v>
      </c>
    </row>
    <row r="1721" spans="1:9" x14ac:dyDescent="0.3">
      <c r="A1721" s="1">
        <v>42674</v>
      </c>
      <c r="B1721" t="s">
        <v>0</v>
      </c>
      <c r="C1721">
        <v>784.53997800000002</v>
      </c>
      <c r="D1721" s="2">
        <f t="shared" si="157"/>
        <v>-1.3616325820789855E-2</v>
      </c>
      <c r="E1721" s="2">
        <f t="shared" ca="1" si="158"/>
        <v>1.5718465376351789</v>
      </c>
      <c r="F1721">
        <f t="shared" ca="1" si="159"/>
        <v>1.5747379665546175</v>
      </c>
      <c r="G1721" s="3">
        <f t="shared" ca="1" si="162"/>
        <v>1.7710912556275089</v>
      </c>
      <c r="H1721">
        <f t="shared" ca="1" si="160"/>
        <v>0.88913429025805779</v>
      </c>
      <c r="I1721">
        <f t="shared" ca="1" si="161"/>
        <v>-0.90825254183965098</v>
      </c>
    </row>
    <row r="1722" spans="1:9" x14ac:dyDescent="0.3">
      <c r="A1722" s="1">
        <v>42675</v>
      </c>
      <c r="B1722" t="s">
        <v>0</v>
      </c>
      <c r="C1722">
        <v>783.60998500000005</v>
      </c>
      <c r="D1722" s="2">
        <f t="shared" si="157"/>
        <v>-1.1853991206041098E-3</v>
      </c>
      <c r="E1722" s="2">
        <f t="shared" ca="1" si="158"/>
        <v>1.5988040619703325</v>
      </c>
      <c r="F1722">
        <f t="shared" ca="1" si="159"/>
        <v>1.6028483064494259</v>
      </c>
      <c r="G1722" s="3">
        <f t="shared" ca="1" si="162"/>
        <v>1.7703643931340376</v>
      </c>
      <c r="H1722">
        <f t="shared" ca="1" si="160"/>
        <v>0.90537762319763915</v>
      </c>
      <c r="I1722">
        <f t="shared" ca="1" si="161"/>
        <v>-0.94356502317328195</v>
      </c>
    </row>
    <row r="1723" spans="1:9" x14ac:dyDescent="0.3">
      <c r="A1723" s="1">
        <v>42676</v>
      </c>
      <c r="B1723" t="s">
        <v>0</v>
      </c>
      <c r="C1723">
        <v>768.70001200000002</v>
      </c>
      <c r="D1723" s="2">
        <f t="shared" si="157"/>
        <v>-1.9027288173210345E-2</v>
      </c>
      <c r="E1723" s="2">
        <f t="shared" ca="1" si="158"/>
        <v>-1.0047035667323547</v>
      </c>
      <c r="F1723">
        <f t="shared" ca="1" si="159"/>
        <v>-0.99587128055774543</v>
      </c>
      <c r="G1723" s="3">
        <f t="shared" ca="1" si="162"/>
        <v>1.7698463038417038</v>
      </c>
      <c r="H1723">
        <f t="shared" ca="1" si="160"/>
        <v>-0.56268800200111435</v>
      </c>
      <c r="I1723">
        <f t="shared" ca="1" si="161"/>
        <v>7.9094864581191696E-3</v>
      </c>
    </row>
    <row r="1724" spans="1:9" x14ac:dyDescent="0.3">
      <c r="A1724" s="1">
        <v>42677</v>
      </c>
      <c r="B1724" t="s">
        <v>0</v>
      </c>
      <c r="C1724">
        <v>762.13000499999998</v>
      </c>
      <c r="D1724" s="2">
        <f t="shared" si="157"/>
        <v>-8.5469063320374097E-3</v>
      </c>
      <c r="E1724" s="2">
        <f t="shared" ca="1" si="158"/>
        <v>2.3443321412955687</v>
      </c>
      <c r="F1724">
        <f t="shared" ca="1" si="159"/>
        <v>2.350743565174255</v>
      </c>
      <c r="G1724" s="3">
        <f t="shared" ca="1" si="162"/>
        <v>1.7659153379382322</v>
      </c>
      <c r="H1724">
        <f t="shared" ca="1" si="160"/>
        <v>1.3311756881384982</v>
      </c>
      <c r="I1724">
        <f t="shared" ca="1" si="161"/>
        <v>-1.7094765969094827</v>
      </c>
    </row>
    <row r="1725" spans="1:9" x14ac:dyDescent="0.3">
      <c r="A1725" s="1">
        <v>42678</v>
      </c>
      <c r="B1725" t="s">
        <v>0</v>
      </c>
      <c r="C1725">
        <v>762.02002000000005</v>
      </c>
      <c r="D1725" s="2">
        <f t="shared" si="157"/>
        <v>-1.4431264912596878E-4</v>
      </c>
      <c r="E1725" s="2">
        <f t="shared" ca="1" si="158"/>
        <v>2.2699070660172254</v>
      </c>
      <c r="F1725">
        <f t="shared" ca="1" si="159"/>
        <v>2.2843036876210085</v>
      </c>
      <c r="G1725" s="3">
        <f t="shared" ca="1" si="162"/>
        <v>1.7719352069395082</v>
      </c>
      <c r="H1725">
        <f t="shared" ca="1" si="160"/>
        <v>1.2891575711543453</v>
      </c>
      <c r="I1725">
        <f t="shared" ca="1" si="161"/>
        <v>-1.6521224960140655</v>
      </c>
    </row>
    <row r="1726" spans="1:9" x14ac:dyDescent="0.3">
      <c r="A1726" s="1">
        <v>42681</v>
      </c>
      <c r="B1726" t="s">
        <v>0</v>
      </c>
      <c r="C1726">
        <v>782.52002000000005</v>
      </c>
      <c r="D1726" s="2">
        <f t="shared" si="157"/>
        <v>2.6902180339041484E-2</v>
      </c>
      <c r="E1726" s="2">
        <f t="shared" ca="1" si="158"/>
        <v>3.272777825496096</v>
      </c>
      <c r="F1726">
        <f t="shared" ca="1" si="159"/>
        <v>3.278142984889314</v>
      </c>
      <c r="G1726" s="3">
        <f t="shared" ca="1" si="162"/>
        <v>1.7770986675640525</v>
      </c>
      <c r="H1726">
        <f t="shared" ca="1" si="160"/>
        <v>1.8446600882227935</v>
      </c>
      <c r="I1726">
        <f t="shared" ca="1" si="161"/>
        <v>-2.3746215449859571</v>
      </c>
    </row>
    <row r="1727" spans="1:9" x14ac:dyDescent="0.3">
      <c r="A1727" s="1">
        <v>42682</v>
      </c>
      <c r="B1727" t="s">
        <v>0</v>
      </c>
      <c r="C1727">
        <v>790.51000999999997</v>
      </c>
      <c r="D1727" s="2">
        <f t="shared" si="157"/>
        <v>1.0210588605771287E-2</v>
      </c>
      <c r="E1727" s="2">
        <f t="shared" ca="1" si="158"/>
        <v>0.87397071921368585</v>
      </c>
      <c r="F1727">
        <f t="shared" ca="1" si="159"/>
        <v>0.86603928177093625</v>
      </c>
      <c r="G1727" s="3">
        <f t="shared" ca="1" si="162"/>
        <v>1.7938700297857053</v>
      </c>
      <c r="H1727">
        <f t="shared" ca="1" si="160"/>
        <v>0.48277705039444402</v>
      </c>
      <c r="I1727">
        <f t="shared" ca="1" si="161"/>
        <v>0.28751101916712873</v>
      </c>
    </row>
    <row r="1728" spans="1:9" x14ac:dyDescent="0.3">
      <c r="A1728" s="1">
        <v>42683</v>
      </c>
      <c r="B1728" t="s">
        <v>0</v>
      </c>
      <c r="C1728">
        <v>785.30999799999995</v>
      </c>
      <c r="D1728" s="2">
        <f t="shared" si="157"/>
        <v>-6.5780470003156764E-3</v>
      </c>
      <c r="E1728" s="2">
        <f t="shared" ca="1" si="158"/>
        <v>-0.10790934770642509</v>
      </c>
      <c r="F1728">
        <f t="shared" ca="1" si="159"/>
        <v>-0.12770569121480788</v>
      </c>
      <c r="G1728" s="3">
        <f t="shared" ca="1" si="162"/>
        <v>1.7890650540335304</v>
      </c>
      <c r="H1728">
        <f t="shared" ca="1" si="160"/>
        <v>-7.1381245151980049E-2</v>
      </c>
      <c r="I1728">
        <f t="shared" ca="1" si="161"/>
        <v>4.1134006786469675</v>
      </c>
    </row>
    <row r="1729" spans="1:9" x14ac:dyDescent="0.3">
      <c r="A1729" s="1">
        <v>42684</v>
      </c>
      <c r="B1729" t="s">
        <v>0</v>
      </c>
      <c r="C1729">
        <v>762.55999799999995</v>
      </c>
      <c r="D1729" s="2">
        <f t="shared" si="157"/>
        <v>-2.8969451627941709E-2</v>
      </c>
      <c r="E1729" s="2">
        <f t="shared" ca="1" si="158"/>
        <v>-0.80163848788206038</v>
      </c>
      <c r="F1729">
        <f t="shared" ca="1" si="159"/>
        <v>-0.80603524140669991</v>
      </c>
      <c r="G1729" s="3">
        <f t="shared" ca="1" si="162"/>
        <v>1.7827846455944576</v>
      </c>
      <c r="H1729">
        <f t="shared" ca="1" si="160"/>
        <v>-0.45212148500299254</v>
      </c>
      <c r="I1729">
        <f t="shared" ca="1" si="161"/>
        <v>0.42996389499675786</v>
      </c>
    </row>
    <row r="1730" spans="1:9" x14ac:dyDescent="0.3">
      <c r="A1730" s="1">
        <v>42685</v>
      </c>
      <c r="B1730" t="s">
        <v>0</v>
      </c>
      <c r="C1730">
        <v>754.02002000000005</v>
      </c>
      <c r="D1730" s="2">
        <f t="shared" si="157"/>
        <v>-1.1199089937051623E-2</v>
      </c>
      <c r="E1730" s="2">
        <f t="shared" ca="1" si="158"/>
        <v>-1.7790124999298749</v>
      </c>
      <c r="F1730">
        <f t="shared" ca="1" si="159"/>
        <v>-1.7662786824779753</v>
      </c>
      <c r="G1730" s="3">
        <f t="shared" ca="1" si="162"/>
        <v>1.7779264310638807</v>
      </c>
      <c r="H1730">
        <f t="shared" ca="1" si="160"/>
        <v>-0.99344868922448293</v>
      </c>
      <c r="I1730">
        <f t="shared" ca="1" si="161"/>
        <v>-1.1377899900991695</v>
      </c>
    </row>
    <row r="1731" spans="1:9" x14ac:dyDescent="0.3">
      <c r="A1731" s="1">
        <v>42688</v>
      </c>
      <c r="B1731" t="s">
        <v>0</v>
      </c>
      <c r="C1731">
        <v>736.080017</v>
      </c>
      <c r="D1731" s="2">
        <f t="shared" si="157"/>
        <v>-2.3792475695804529E-2</v>
      </c>
      <c r="E1731" s="2">
        <f t="shared" ca="1" si="158"/>
        <v>-1.1713313132387704</v>
      </c>
      <c r="F1731">
        <f t="shared" ca="1" si="159"/>
        <v>-1.14995294979058</v>
      </c>
      <c r="G1731" s="3">
        <f t="shared" ca="1" si="162"/>
        <v>1.7784256586350913</v>
      </c>
      <c r="H1731">
        <f t="shared" ca="1" si="160"/>
        <v>-0.64661288719436694</v>
      </c>
      <c r="I1731">
        <f t="shared" ca="1" si="161"/>
        <v>-0.2798701308959527</v>
      </c>
    </row>
    <row r="1732" spans="1:9" x14ac:dyDescent="0.3">
      <c r="A1732" s="1">
        <v>42689</v>
      </c>
      <c r="B1732" t="s">
        <v>0</v>
      </c>
      <c r="C1732">
        <v>758.48999000000003</v>
      </c>
      <c r="D1732" s="2">
        <f t="shared" ref="D1732:D1763" si="163">(C1732-C1731)/C1731</f>
        <v>3.0445022935597553E-2</v>
      </c>
      <c r="E1732" s="2">
        <f t="shared" ca="1" si="158"/>
        <v>-2.1935856131547773</v>
      </c>
      <c r="F1732">
        <f t="shared" ca="1" si="159"/>
        <v>-2.179517882835758</v>
      </c>
      <c r="G1732" s="3">
        <f t="shared" ca="1" si="162"/>
        <v>1.775069866079243</v>
      </c>
      <c r="H1732">
        <f t="shared" ca="1" si="160"/>
        <v>-1.227849069203037</v>
      </c>
      <c r="I1732">
        <f t="shared" ca="1" si="161"/>
        <v>-1.5584025198309572</v>
      </c>
    </row>
    <row r="1733" spans="1:9" x14ac:dyDescent="0.3">
      <c r="A1733" s="1">
        <v>42690</v>
      </c>
      <c r="B1733" t="s">
        <v>0</v>
      </c>
      <c r="C1733">
        <v>764.47997999999995</v>
      </c>
      <c r="D1733" s="2">
        <f t="shared" si="163"/>
        <v>7.8972564951053873E-3</v>
      </c>
      <c r="E1733" s="2">
        <f t="shared" ca="1" si="158"/>
        <v>0.16313775016696733</v>
      </c>
      <c r="F1733">
        <f t="shared" ca="1" si="159"/>
        <v>0.16887559253670342</v>
      </c>
      <c r="G1733" s="3">
        <f t="shared" ca="1" si="162"/>
        <v>1.7791343657991339</v>
      </c>
      <c r="H1733">
        <f t="shared" ca="1" si="160"/>
        <v>9.4920089107968841E-2</v>
      </c>
      <c r="I1733">
        <f t="shared" ca="1" si="161"/>
        <v>3.5549990993632195</v>
      </c>
    </row>
    <row r="1734" spans="1:9" x14ac:dyDescent="0.3">
      <c r="A1734" s="1">
        <v>42691</v>
      </c>
      <c r="B1734" t="s">
        <v>0</v>
      </c>
      <c r="C1734">
        <v>771.22997999999995</v>
      </c>
      <c r="D1734" s="2">
        <f t="shared" si="163"/>
        <v>8.8295314155905046E-3</v>
      </c>
      <c r="E1734" s="2">
        <f t="shared" ref="E1734:E1763" ca="1" si="164">$N$9*D1733+$N$10*D1732+F1734</f>
        <v>-0.11445161365666845</v>
      </c>
      <c r="F1734">
        <f t="shared" ref="F1734:F1763" ca="1" si="165">G1734*H1734</f>
        <v>-0.13576431786250304</v>
      </c>
      <c r="G1734" s="3">
        <f t="shared" ca="1" si="162"/>
        <v>1.7729980850262437</v>
      </c>
      <c r="H1734">
        <f t="shared" ref="H1734:H1763" ca="1" si="166">_xlfn.NORM.S.INV(RAND())</f>
        <v>-7.6573302029535731E-2</v>
      </c>
      <c r="I1734">
        <f t="shared" ref="I1734:I1763" ca="1" si="167">-LN(F1734^2)-(D1734^2)/(F1734^2)</f>
        <v>3.9894400608160736</v>
      </c>
    </row>
    <row r="1735" spans="1:9" x14ac:dyDescent="0.3">
      <c r="A1735" s="1">
        <v>42692</v>
      </c>
      <c r="B1735" t="s">
        <v>0</v>
      </c>
      <c r="C1735">
        <v>760.53997800000002</v>
      </c>
      <c r="D1735" s="2">
        <f t="shared" si="163"/>
        <v>-1.3860978277841243E-2</v>
      </c>
      <c r="E1735" s="2">
        <f t="shared" ca="1" si="164"/>
        <v>-1.1707202141633988</v>
      </c>
      <c r="F1735">
        <f t="shared" ca="1" si="165"/>
        <v>-1.1782704708283476</v>
      </c>
      <c r="G1735" s="3">
        <f t="shared" ref="G1735:G1763" ca="1" si="168">SQRT($N$6+$N$7*(H1734^2)+$N$8*(G1734^2))</f>
        <v>1.7669133856921257</v>
      </c>
      <c r="H1735">
        <f t="shared" ca="1" si="166"/>
        <v>-0.66685242206527395</v>
      </c>
      <c r="I1735">
        <f t="shared" ca="1" si="167"/>
        <v>-0.32823370898503734</v>
      </c>
    </row>
    <row r="1736" spans="1:9" x14ac:dyDescent="0.3">
      <c r="A1736" s="1">
        <v>42695</v>
      </c>
      <c r="B1736" t="s">
        <v>0</v>
      </c>
      <c r="C1736">
        <v>769.20001200000002</v>
      </c>
      <c r="D1736" s="2">
        <f t="shared" si="163"/>
        <v>1.1386691364697723E-2</v>
      </c>
      <c r="E1736" s="2">
        <f t="shared" ca="1" si="164"/>
        <v>-0.1028860119124928</v>
      </c>
      <c r="F1736">
        <f t="shared" ca="1" si="165"/>
        <v>-0.10425126727252826</v>
      </c>
      <c r="G1736" s="3">
        <f t="shared" ca="1" si="168"/>
        <v>1.7638937233398373</v>
      </c>
      <c r="H1736">
        <f t="shared" ca="1" si="166"/>
        <v>-5.9102918669688399E-2</v>
      </c>
      <c r="I1736">
        <f t="shared" ca="1" si="167"/>
        <v>4.509972745178457</v>
      </c>
    </row>
    <row r="1737" spans="1:9" x14ac:dyDescent="0.3">
      <c r="A1737" s="1">
        <v>42696</v>
      </c>
      <c r="B1737" t="s">
        <v>0</v>
      </c>
      <c r="C1737">
        <v>768.27002000000005</v>
      </c>
      <c r="D1737" s="2">
        <f t="shared" si="163"/>
        <v>-1.2090379426566756E-3</v>
      </c>
      <c r="E1737" s="2">
        <f t="shared" ca="1" si="164"/>
        <v>0.2954040825020563</v>
      </c>
      <c r="F1737">
        <f t="shared" ca="1" si="165"/>
        <v>0.30064015005545619</v>
      </c>
      <c r="G1737" s="3">
        <f t="shared" ca="1" si="168"/>
        <v>1.7579013230428073</v>
      </c>
      <c r="H1737">
        <f t="shared" ca="1" si="166"/>
        <v>0.17102219909310301</v>
      </c>
      <c r="I1737">
        <f t="shared" ca="1" si="167"/>
        <v>2.4036663155685485</v>
      </c>
    </row>
    <row r="1738" spans="1:9" x14ac:dyDescent="0.3">
      <c r="A1738" s="1">
        <v>42697</v>
      </c>
      <c r="B1738" t="s">
        <v>0</v>
      </c>
      <c r="C1738">
        <v>760.98999000000003</v>
      </c>
      <c r="D1738" s="2">
        <f t="shared" si="163"/>
        <v>-9.4758741204036701E-3</v>
      </c>
      <c r="E1738" s="2">
        <f t="shared" ca="1" si="164"/>
        <v>-8.8993875920862678E-2</v>
      </c>
      <c r="F1738">
        <f t="shared" ca="1" si="165"/>
        <v>-9.5723837700699824E-2</v>
      </c>
      <c r="G1738" s="3">
        <f t="shared" ca="1" si="168"/>
        <v>1.7521571745778066</v>
      </c>
      <c r="H1738">
        <f t="shared" ca="1" si="166"/>
        <v>-5.4631992545854276E-2</v>
      </c>
      <c r="I1738">
        <f t="shared" ca="1" si="167"/>
        <v>4.6827764728632628</v>
      </c>
    </row>
    <row r="1739" spans="1:9" x14ac:dyDescent="0.3">
      <c r="A1739" s="1">
        <v>42699</v>
      </c>
      <c r="B1739" t="s">
        <v>0</v>
      </c>
      <c r="C1739">
        <v>761.67999299999997</v>
      </c>
      <c r="D1739" s="2">
        <f t="shared" si="163"/>
        <v>9.0671757719169637E-4</v>
      </c>
      <c r="E1739" s="2">
        <f t="shared" ca="1" si="164"/>
        <v>3.6026023009339077</v>
      </c>
      <c r="F1739">
        <f t="shared" ca="1" si="165"/>
        <v>3.6061805430500038</v>
      </c>
      <c r="G1739" s="3">
        <f t="shared" ca="1" si="168"/>
        <v>1.7463016303167211</v>
      </c>
      <c r="H1739">
        <f t="shared" ca="1" si="166"/>
        <v>2.0650387541560975</v>
      </c>
      <c r="I1739">
        <f t="shared" ca="1" si="167"/>
        <v>-2.5652984450779188</v>
      </c>
    </row>
    <row r="1740" spans="1:9" x14ac:dyDescent="0.3">
      <c r="A1740" s="1">
        <v>42702</v>
      </c>
      <c r="B1740" t="s">
        <v>0</v>
      </c>
      <c r="C1740">
        <v>768.23999000000003</v>
      </c>
      <c r="D1740" s="2">
        <f t="shared" si="163"/>
        <v>8.6125368399955684E-3</v>
      </c>
      <c r="E1740" s="2">
        <f t="shared" ca="1" si="164"/>
        <v>0.8334760500967483</v>
      </c>
      <c r="F1740">
        <f t="shared" ca="1" si="165"/>
        <v>0.83910629377359147</v>
      </c>
      <c r="G1740" s="3">
        <f t="shared" ca="1" si="168"/>
        <v>1.7696974138012671</v>
      </c>
      <c r="H1740">
        <f t="shared" ca="1" si="166"/>
        <v>0.47415241002766201</v>
      </c>
      <c r="I1740">
        <f t="shared" ca="1" si="167"/>
        <v>0.3507304305516018</v>
      </c>
    </row>
    <row r="1741" spans="1:9" x14ac:dyDescent="0.3">
      <c r="A1741" s="1">
        <v>42703</v>
      </c>
      <c r="B1741" t="s">
        <v>0</v>
      </c>
      <c r="C1741">
        <v>770.84002699999996</v>
      </c>
      <c r="D1741" s="2">
        <f t="shared" si="163"/>
        <v>3.384407260548789E-3</v>
      </c>
      <c r="E1741" s="2">
        <f t="shared" ca="1" si="164"/>
        <v>-1.4572011928487076</v>
      </c>
      <c r="F1741">
        <f t="shared" ca="1" si="165"/>
        <v>-1.4603337637310134</v>
      </c>
      <c r="G1741" s="3">
        <f t="shared" ca="1" si="168"/>
        <v>1.7651434765184455</v>
      </c>
      <c r="H1741">
        <f t="shared" ca="1" si="166"/>
        <v>-0.82731731621690252</v>
      </c>
      <c r="I1741">
        <f t="shared" ca="1" si="167"/>
        <v>-0.75733540085061346</v>
      </c>
    </row>
    <row r="1742" spans="1:9" x14ac:dyDescent="0.3">
      <c r="A1742" s="1">
        <v>42704</v>
      </c>
      <c r="B1742" t="s">
        <v>0</v>
      </c>
      <c r="C1742">
        <v>758.03997800000002</v>
      </c>
      <c r="D1742" s="2">
        <f t="shared" si="163"/>
        <v>-1.6605324777718044E-2</v>
      </c>
      <c r="E1742" s="2">
        <f t="shared" ca="1" si="164"/>
        <v>2.8529852869706378</v>
      </c>
      <c r="F1742">
        <f t="shared" ca="1" si="165"/>
        <v>2.8466131754395763</v>
      </c>
      <c r="G1742" s="3">
        <f t="shared" ca="1" si="168"/>
        <v>1.7637824117145857</v>
      </c>
      <c r="H1742">
        <f t="shared" ca="1" si="166"/>
        <v>1.6139253666059425</v>
      </c>
      <c r="I1742">
        <f t="shared" ca="1" si="167"/>
        <v>-2.0922938843640551</v>
      </c>
    </row>
    <row r="1743" spans="1:9" x14ac:dyDescent="0.3">
      <c r="A1743" s="1">
        <v>42705</v>
      </c>
      <c r="B1743" t="s">
        <v>0</v>
      </c>
      <c r="C1743">
        <v>747.919983</v>
      </c>
      <c r="D1743" s="2">
        <f t="shared" si="163"/>
        <v>-1.3350212777300271E-2</v>
      </c>
      <c r="E1743" s="2">
        <f t="shared" ca="1" si="164"/>
        <v>1.3911725341662364</v>
      </c>
      <c r="F1743">
        <f t="shared" ca="1" si="165"/>
        <v>1.3940162089193604</v>
      </c>
      <c r="G1743" s="3">
        <f t="shared" ca="1" si="168"/>
        <v>1.7754878830786431</v>
      </c>
      <c r="H1743">
        <f t="shared" ca="1" si="166"/>
        <v>0.78514543647697432</v>
      </c>
      <c r="I1743">
        <f t="shared" ca="1" si="167"/>
        <v>-0.66446959488150703</v>
      </c>
    </row>
    <row r="1744" spans="1:9" x14ac:dyDescent="0.3">
      <c r="A1744" s="1">
        <v>42706</v>
      </c>
      <c r="B1744" t="s">
        <v>0</v>
      </c>
      <c r="C1744">
        <v>750.5</v>
      </c>
      <c r="D1744" s="2">
        <f t="shared" si="163"/>
        <v>3.4495896066999428E-3</v>
      </c>
      <c r="E1744" s="2">
        <f t="shared" ca="1" si="164"/>
        <v>-0.30790392093772917</v>
      </c>
      <c r="F1744">
        <f t="shared" ca="1" si="165"/>
        <v>-0.29358326795990453</v>
      </c>
      <c r="G1744" s="3">
        <f t="shared" ca="1" si="168"/>
        <v>1.7735161915542215</v>
      </c>
      <c r="H1744">
        <f t="shared" ca="1" si="166"/>
        <v>-0.16553740493489533</v>
      </c>
      <c r="I1744">
        <f t="shared" ca="1" si="167"/>
        <v>2.4510498848101849</v>
      </c>
    </row>
    <row r="1745" spans="1:9" x14ac:dyDescent="0.3">
      <c r="A1745" s="1">
        <v>42709</v>
      </c>
      <c r="B1745" t="s">
        <v>0</v>
      </c>
      <c r="C1745">
        <v>762.52002000000005</v>
      </c>
      <c r="D1745" s="2">
        <f t="shared" si="163"/>
        <v>1.60160159893405E-2</v>
      </c>
      <c r="E1745" s="2">
        <f t="shared" ca="1" si="164"/>
        <v>-0.1796701617218574</v>
      </c>
      <c r="F1745">
        <f t="shared" ca="1" si="165"/>
        <v>-0.17238557671651147</v>
      </c>
      <c r="G1745" s="3">
        <f t="shared" ca="1" si="168"/>
        <v>1.7675717903765165</v>
      </c>
      <c r="H1745">
        <f t="shared" ca="1" si="166"/>
        <v>-9.7526775237678484E-2</v>
      </c>
      <c r="I1745">
        <f t="shared" ca="1" si="167"/>
        <v>3.5074112573763001</v>
      </c>
    </row>
    <row r="1746" spans="1:9" x14ac:dyDescent="0.3">
      <c r="A1746" s="1">
        <v>42710</v>
      </c>
      <c r="B1746" t="s">
        <v>0</v>
      </c>
      <c r="C1746">
        <v>759.10998500000005</v>
      </c>
      <c r="D1746" s="2">
        <f t="shared" si="163"/>
        <v>-4.472059631955622E-3</v>
      </c>
      <c r="E1746" s="2">
        <f t="shared" ca="1" si="164"/>
        <v>0.33166097254655424</v>
      </c>
      <c r="F1746">
        <f t="shared" ca="1" si="165"/>
        <v>0.32473750202653284</v>
      </c>
      <c r="G1746" s="3">
        <f t="shared" ca="1" si="168"/>
        <v>1.7615766023282675</v>
      </c>
      <c r="H1746">
        <f t="shared" ca="1" si="166"/>
        <v>0.18434480884755669</v>
      </c>
      <c r="I1746">
        <f t="shared" ca="1" si="167"/>
        <v>2.2492865692782007</v>
      </c>
    </row>
    <row r="1747" spans="1:9" x14ac:dyDescent="0.3">
      <c r="A1747" s="1">
        <v>42711</v>
      </c>
      <c r="B1747" t="s">
        <v>0</v>
      </c>
      <c r="C1747">
        <v>771.19000200000005</v>
      </c>
      <c r="D1747" s="2">
        <f t="shared" si="163"/>
        <v>1.5913394947637261E-2</v>
      </c>
      <c r="E1747" s="2">
        <f t="shared" ca="1" si="164"/>
        <v>-2.5801699548597092</v>
      </c>
      <c r="F1747">
        <f t="shared" ca="1" si="165"/>
        <v>-2.5888096614964033</v>
      </c>
      <c r="G1747" s="3">
        <f t="shared" ca="1" si="168"/>
        <v>1.7558205742347004</v>
      </c>
      <c r="H1747">
        <f t="shared" ca="1" si="166"/>
        <v>-1.4744158369512064</v>
      </c>
      <c r="I1747">
        <f t="shared" ca="1" si="167"/>
        <v>-1.9024341453467064</v>
      </c>
    </row>
    <row r="1748" spans="1:9" x14ac:dyDescent="0.3">
      <c r="A1748" s="1">
        <v>42712</v>
      </c>
      <c r="B1748" t="s">
        <v>0</v>
      </c>
      <c r="C1748">
        <v>776.419983</v>
      </c>
      <c r="D1748" s="2">
        <f t="shared" si="163"/>
        <v>6.7817022866434309E-3</v>
      </c>
      <c r="E1748" s="2">
        <f t="shared" ca="1" si="164"/>
        <v>-0.51039418132373671</v>
      </c>
      <c r="F1748">
        <f t="shared" ca="1" si="165"/>
        <v>-0.51235426897430481</v>
      </c>
      <c r="G1748" s="3">
        <f t="shared" ca="1" si="168"/>
        <v>1.7647681546258585</v>
      </c>
      <c r="H1748">
        <f t="shared" ca="1" si="166"/>
        <v>-0.29032384091434776</v>
      </c>
      <c r="I1748">
        <f t="shared" ca="1" si="167"/>
        <v>1.3373027221956211</v>
      </c>
    </row>
    <row r="1749" spans="1:9" x14ac:dyDescent="0.3">
      <c r="A1749" s="1">
        <v>42713</v>
      </c>
      <c r="B1749" t="s">
        <v>0</v>
      </c>
      <c r="C1749">
        <v>789.28997800000002</v>
      </c>
      <c r="D1749" s="2">
        <f t="shared" si="163"/>
        <v>1.6576073879850176E-2</v>
      </c>
      <c r="E1749" s="2">
        <f t="shared" ca="1" si="164"/>
        <v>-1.1595077990089846</v>
      </c>
      <c r="F1749">
        <f t="shared" ca="1" si="165"/>
        <v>-1.1714390867423039</v>
      </c>
      <c r="G1749" s="3">
        <f t="shared" ca="1" si="168"/>
        <v>1.7593173497919898</v>
      </c>
      <c r="H1749">
        <f t="shared" ca="1" si="166"/>
        <v>-0.66584865253605729</v>
      </c>
      <c r="I1749">
        <f t="shared" ca="1" si="167"/>
        <v>-0.31666619091654186</v>
      </c>
    </row>
    <row r="1750" spans="1:9" x14ac:dyDescent="0.3">
      <c r="A1750" s="1">
        <v>42716</v>
      </c>
      <c r="B1750" t="s">
        <v>0</v>
      </c>
      <c r="C1750">
        <v>789.27002000000005</v>
      </c>
      <c r="D1750" s="2">
        <f t="shared" si="163"/>
        <v>-2.5286017251284753E-5</v>
      </c>
      <c r="E1750" s="2">
        <f t="shared" ca="1" si="164"/>
        <v>1.265669581311111</v>
      </c>
      <c r="F1750">
        <f t="shared" ca="1" si="165"/>
        <v>1.256504225321222</v>
      </c>
      <c r="G1750" s="3">
        <f t="shared" ca="1" si="168"/>
        <v>1.7563920438213219</v>
      </c>
      <c r="H1750">
        <f t="shared" ca="1" si="166"/>
        <v>0.7153893857247775</v>
      </c>
      <c r="I1750">
        <f t="shared" ca="1" si="167"/>
        <v>-0.45666688193783206</v>
      </c>
    </row>
    <row r="1751" spans="1:9" x14ac:dyDescent="0.3">
      <c r="A1751" s="1">
        <v>42717</v>
      </c>
      <c r="B1751" t="s">
        <v>0</v>
      </c>
      <c r="C1751">
        <v>796.09997599999997</v>
      </c>
      <c r="D1751" s="2">
        <f t="shared" si="163"/>
        <v>8.6535099863541305E-3</v>
      </c>
      <c r="E1751" s="2">
        <f t="shared" ca="1" si="164"/>
        <v>1.0930495050333251</v>
      </c>
      <c r="F1751">
        <f t="shared" ca="1" si="165"/>
        <v>1.0827351779837868</v>
      </c>
      <c r="G1751" s="3">
        <f t="shared" ca="1" si="168"/>
        <v>1.7539756294538371</v>
      </c>
      <c r="H1751">
        <f t="shared" ca="1" si="166"/>
        <v>0.61730343329852022</v>
      </c>
      <c r="I1751">
        <f t="shared" ca="1" si="167"/>
        <v>-0.15904469992509426</v>
      </c>
    </row>
    <row r="1752" spans="1:9" x14ac:dyDescent="0.3">
      <c r="A1752" s="1">
        <v>42718</v>
      </c>
      <c r="B1752" t="s">
        <v>0</v>
      </c>
      <c r="C1752">
        <v>797.07000700000003</v>
      </c>
      <c r="D1752" s="2">
        <f t="shared" si="163"/>
        <v>1.2184788710508172E-3</v>
      </c>
      <c r="E1752" s="2">
        <f t="shared" ca="1" si="164"/>
        <v>-1.3385453318566072</v>
      </c>
      <c r="F1752">
        <f t="shared" ca="1" si="165"/>
        <v>-1.3411097639546328</v>
      </c>
      <c r="G1752" s="3">
        <f t="shared" ca="1" si="168"/>
        <v>1.7506957433531152</v>
      </c>
      <c r="H1752">
        <f t="shared" ca="1" si="166"/>
        <v>-0.7660438822944754</v>
      </c>
      <c r="I1752">
        <f t="shared" ca="1" si="167"/>
        <v>-0.58699573201149458</v>
      </c>
    </row>
    <row r="1753" spans="1:9" x14ac:dyDescent="0.3">
      <c r="A1753" s="1">
        <v>42719</v>
      </c>
      <c r="B1753" t="s">
        <v>0</v>
      </c>
      <c r="C1753">
        <v>797.84997599999997</v>
      </c>
      <c r="D1753" s="2">
        <f t="shared" si="163"/>
        <v>9.7854516309749595E-4</v>
      </c>
      <c r="E1753" s="2">
        <f t="shared" ca="1" si="164"/>
        <v>-4.2117573957735858E-3</v>
      </c>
      <c r="F1753">
        <f t="shared" ca="1" si="165"/>
        <v>-9.9635777772928095E-3</v>
      </c>
      <c r="G1753" s="3">
        <f t="shared" ca="1" si="168"/>
        <v>1.7488745689754994</v>
      </c>
      <c r="H1753">
        <f t="shared" ca="1" si="166"/>
        <v>-5.6971368639258842E-3</v>
      </c>
      <c r="I1753">
        <f t="shared" ca="1" si="167"/>
        <v>9.2079924730540892</v>
      </c>
    </row>
    <row r="1754" spans="1:9" x14ac:dyDescent="0.3">
      <c r="A1754" s="1">
        <v>42720</v>
      </c>
      <c r="B1754" t="s">
        <v>0</v>
      </c>
      <c r="C1754">
        <v>790.79998799999998</v>
      </c>
      <c r="D1754" s="2">
        <f t="shared" si="163"/>
        <v>-8.8362326403077871E-3</v>
      </c>
      <c r="E1754" s="2">
        <f t="shared" ca="1" si="164"/>
        <v>1.135961815975987</v>
      </c>
      <c r="F1754">
        <f t="shared" ca="1" si="165"/>
        <v>1.1349113048570896</v>
      </c>
      <c r="G1754" s="3">
        <f t="shared" ca="1" si="168"/>
        <v>1.7430380386325766</v>
      </c>
      <c r="H1754">
        <f t="shared" ca="1" si="166"/>
        <v>0.65111103699574691</v>
      </c>
      <c r="I1754">
        <f t="shared" ca="1" si="167"/>
        <v>-0.25316962399221898</v>
      </c>
    </row>
    <row r="1755" spans="1:9" x14ac:dyDescent="0.3">
      <c r="A1755" s="1">
        <v>42723</v>
      </c>
      <c r="B1755" t="s">
        <v>0</v>
      </c>
      <c r="C1755">
        <v>794.20001200000002</v>
      </c>
      <c r="D1755" s="2">
        <f t="shared" si="163"/>
        <v>4.2994740156723802E-3</v>
      </c>
      <c r="E1755" s="2">
        <f t="shared" ca="1" si="164"/>
        <v>0.67560358334440895</v>
      </c>
      <c r="F1755">
        <f t="shared" ca="1" si="165"/>
        <v>0.67762890570086876</v>
      </c>
      <c r="G1755" s="3">
        <f t="shared" ca="1" si="168"/>
        <v>1.7402017591325172</v>
      </c>
      <c r="H1755">
        <f t="shared" ca="1" si="166"/>
        <v>0.38939674790276257</v>
      </c>
      <c r="I1755">
        <f t="shared" ca="1" si="167"/>
        <v>0.77827069771829571</v>
      </c>
    </row>
    <row r="1756" spans="1:9" x14ac:dyDescent="0.3">
      <c r="A1756" s="1">
        <v>42724</v>
      </c>
      <c r="B1756" t="s">
        <v>0</v>
      </c>
      <c r="C1756">
        <v>796.419983</v>
      </c>
      <c r="D1756" s="2">
        <f t="shared" si="163"/>
        <v>2.7952291191856425E-3</v>
      </c>
      <c r="E1756" s="2">
        <f t="shared" ca="1" si="164"/>
        <v>-0.28545503240957792</v>
      </c>
      <c r="F1756">
        <f t="shared" ca="1" si="165"/>
        <v>-0.28123469408830037</v>
      </c>
      <c r="G1756" s="3">
        <f t="shared" ca="1" si="168"/>
        <v>1.7355195376160073</v>
      </c>
      <c r="H1756">
        <f t="shared" ca="1" si="166"/>
        <v>-0.16204640051164035</v>
      </c>
      <c r="I1756">
        <f t="shared" ca="1" si="167"/>
        <v>2.537032709556339</v>
      </c>
    </row>
    <row r="1757" spans="1:9" x14ac:dyDescent="0.3">
      <c r="A1757" s="1">
        <v>42725</v>
      </c>
      <c r="B1757" t="s">
        <v>0</v>
      </c>
      <c r="C1757">
        <v>794.55999799999995</v>
      </c>
      <c r="D1757" s="2">
        <f t="shared" si="163"/>
        <v>-2.3354323594364803E-3</v>
      </c>
      <c r="E1757" s="2">
        <f t="shared" ca="1" si="164"/>
        <v>-1.0671388682046816</v>
      </c>
      <c r="F1757">
        <f t="shared" ca="1" si="165"/>
        <v>-1.0706495771979256</v>
      </c>
      <c r="G1757" s="3">
        <f t="shared" ca="1" si="168"/>
        <v>1.730025780888685</v>
      </c>
      <c r="H1757">
        <f t="shared" ca="1" si="166"/>
        <v>-0.6188633655204554</v>
      </c>
      <c r="I1757">
        <f t="shared" ca="1" si="167"/>
        <v>-0.13653584970482135</v>
      </c>
    </row>
    <row r="1758" spans="1:9" x14ac:dyDescent="0.3">
      <c r="A1758" s="1">
        <v>42726</v>
      </c>
      <c r="B1758" t="s">
        <v>0</v>
      </c>
      <c r="C1758">
        <v>791.26000999999997</v>
      </c>
      <c r="D1758" s="2">
        <f t="shared" si="163"/>
        <v>-4.1532269536679912E-3</v>
      </c>
      <c r="E1758" s="2">
        <f t="shared" ca="1" si="164"/>
        <v>-3.0547354396999387</v>
      </c>
      <c r="F1758">
        <f t="shared" ca="1" si="165"/>
        <v>-3.055779674423456</v>
      </c>
      <c r="G1758" s="3">
        <f t="shared" ca="1" si="168"/>
        <v>1.7270831535167686</v>
      </c>
      <c r="H1758">
        <f t="shared" ca="1" si="166"/>
        <v>-1.7693297906363874</v>
      </c>
      <c r="I1758">
        <f t="shared" ca="1" si="167"/>
        <v>-2.2340713925359164</v>
      </c>
    </row>
    <row r="1759" spans="1:9" x14ac:dyDescent="0.3">
      <c r="A1759" s="1">
        <v>42727</v>
      </c>
      <c r="B1759" t="s">
        <v>0</v>
      </c>
      <c r="C1759">
        <v>789.90997300000004</v>
      </c>
      <c r="D1759" s="2">
        <f t="shared" si="163"/>
        <v>-1.7061863141547232E-3</v>
      </c>
      <c r="E1759" s="2">
        <f t="shared" ca="1" si="164"/>
        <v>1.8103872527458982</v>
      </c>
      <c r="F1759">
        <f t="shared" ca="1" si="165"/>
        <v>1.8130798675082325</v>
      </c>
      <c r="G1759" s="3">
        <f t="shared" ca="1" si="168"/>
        <v>1.7432273489266608</v>
      </c>
      <c r="H1759">
        <f t="shared" ca="1" si="166"/>
        <v>1.0400708023681371</v>
      </c>
      <c r="I1759">
        <f t="shared" ca="1" si="167"/>
        <v>-1.1900548525263079</v>
      </c>
    </row>
    <row r="1760" spans="1:9" x14ac:dyDescent="0.3">
      <c r="A1760" s="1">
        <v>42731</v>
      </c>
      <c r="B1760" t="s">
        <v>0</v>
      </c>
      <c r="C1760">
        <v>791.54998799999998</v>
      </c>
      <c r="D1760" s="2">
        <f t="shared" si="163"/>
        <v>2.0762049550676434E-3</v>
      </c>
      <c r="E1760" s="2">
        <f t="shared" ca="1" si="164"/>
        <v>0.93744357831639769</v>
      </c>
      <c r="F1760">
        <f t="shared" ca="1" si="165"/>
        <v>0.94053850481933132</v>
      </c>
      <c r="G1760" s="3">
        <f t="shared" ca="1" si="168"/>
        <v>1.7449251311605838</v>
      </c>
      <c r="H1760">
        <f t="shared" ca="1" si="166"/>
        <v>0.53901367343695761</v>
      </c>
      <c r="I1760">
        <f t="shared" ca="1" si="167"/>
        <v>0.122600507667116</v>
      </c>
    </row>
    <row r="1761" spans="1:9" x14ac:dyDescent="0.3">
      <c r="A1761" s="1">
        <v>42732</v>
      </c>
      <c r="B1761" t="s">
        <v>0</v>
      </c>
      <c r="C1761">
        <v>785.04998799999998</v>
      </c>
      <c r="D1761" s="2">
        <f t="shared" si="163"/>
        <v>-8.2117365909176159E-3</v>
      </c>
      <c r="E1761" s="2">
        <f t="shared" ca="1" si="164"/>
        <v>2.5822789661171748</v>
      </c>
      <c r="F1761">
        <f t="shared" ca="1" si="165"/>
        <v>2.582722350135561</v>
      </c>
      <c r="G1761" s="3">
        <f t="shared" ca="1" si="168"/>
        <v>1.7411424013527013</v>
      </c>
      <c r="H1761">
        <f t="shared" ca="1" si="166"/>
        <v>1.4833492930440568</v>
      </c>
      <c r="I1761">
        <f t="shared" ca="1" si="167"/>
        <v>-1.8976981433473292</v>
      </c>
    </row>
    <row r="1762" spans="1:9" x14ac:dyDescent="0.3">
      <c r="A1762" s="1">
        <v>42733</v>
      </c>
      <c r="B1762" t="s">
        <v>0</v>
      </c>
      <c r="C1762">
        <v>782.78997800000002</v>
      </c>
      <c r="D1762" s="2">
        <f t="shared" si="163"/>
        <v>-2.878810310866428E-3</v>
      </c>
      <c r="E1762" s="2">
        <f t="shared" ca="1" si="164"/>
        <v>-4.0298460680483421</v>
      </c>
      <c r="F1762">
        <f t="shared" ca="1" si="165"/>
        <v>-4.0286904579592475</v>
      </c>
      <c r="G1762" s="3">
        <f t="shared" ca="1" si="168"/>
        <v>1.7505706001854906</v>
      </c>
      <c r="H1762">
        <f t="shared" ca="1" si="166"/>
        <v>-2.3013584585119657</v>
      </c>
      <c r="I1762">
        <f t="shared" ca="1" si="167"/>
        <v>-2.7868832601289859</v>
      </c>
    </row>
    <row r="1763" spans="1:9" x14ac:dyDescent="0.3">
      <c r="A1763" s="1">
        <v>42734</v>
      </c>
      <c r="B1763" t="s">
        <v>0</v>
      </c>
      <c r="C1763">
        <v>771.82000700000003</v>
      </c>
      <c r="D1763" s="2">
        <f t="shared" si="163"/>
        <v>-1.4013938998079491E-2</v>
      </c>
      <c r="E1763" s="2">
        <f t="shared" ca="1" si="164"/>
        <v>2.0303308122831072</v>
      </c>
      <c r="F1763">
        <f t="shared" ca="1" si="165"/>
        <v>2.0363025952853784</v>
      </c>
      <c r="G1763" s="3">
        <f t="shared" ca="1" si="168"/>
        <v>1.7808233611031559</v>
      </c>
      <c r="H1763">
        <f t="shared" ca="1" si="166"/>
        <v>1.1434612998472584</v>
      </c>
      <c r="I1763">
        <f t="shared" ca="1" si="167"/>
        <v>-1.4223187827982964</v>
      </c>
    </row>
  </sheetData>
  <scenarios current="0">
    <scenario name="Test 1" count="5" user="Edgar" comment="Créé par Edgar le 12/24/2022">
      <inputCells r="N6" val="0.0713586257305544"/>
      <inputCells r="N7" val="0.10402578290988"/>
      <inputCells r="N8" val="0.0894404809149363" numFmtId="11"/>
      <inputCells r="N9" val="0.286637209487047"/>
      <inputCells r="N10" val="0.267092363216431"/>
    </scenario>
  </scenarios>
  <phoneticPr fontId="2" type="noConversion"/>
  <pageMargins left="0.7" right="0.7" top="0.75" bottom="0.75" header="0.3" footer="0.3"/>
  <pageSetup paperSize="9" orientation="portrait" horizontalDpi="1200" verticalDpi="120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AR-GARCH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Samuel</dc:creator>
  <cp:lastModifiedBy>Edgar</cp:lastModifiedBy>
  <dcterms:created xsi:type="dcterms:W3CDTF">2020-10-30T13:31:26Z</dcterms:created>
  <dcterms:modified xsi:type="dcterms:W3CDTF">2022-12-26T18:24:42Z</dcterms:modified>
</cp:coreProperties>
</file>